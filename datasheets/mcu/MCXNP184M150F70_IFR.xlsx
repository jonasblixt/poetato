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fileSharing readOnlyRecommended="1"/>
  <workbookPr codeName="ThisWorkbook"/>
  <mc:AlternateContent xmlns:mc="http://schemas.openxmlformats.org/markup-compatibility/2006">
    <mc:Choice Requires="x15">
      <x15ac:absPath xmlns:x15ac="http://schemas.microsoft.com/office/spreadsheetml/2010/11/ac" url="C:\Users\nxf75247\Desktop\Legacy_RM\N10\"/>
    </mc:Choice>
  </mc:AlternateContent>
  <xr:revisionPtr revIDLastSave="0" documentId="8_{29187C3B-9002-4BB2-B20C-F3E493C89494}" xr6:coauthVersionLast="47" xr6:coauthVersionMax="47" xr10:uidLastSave="{00000000-0000-0000-0000-000000000000}"/>
  <bookViews>
    <workbookView xWindow="-110" yWindow="-110" windowWidth="19420" windowHeight="10300" tabRatio="876" xr2:uid="{00000000-000D-0000-FFFF-FFFF00000000}"/>
  </bookViews>
  <sheets>
    <sheet name="IFR0" sheetId="19" r:id="rId1"/>
    <sheet name="IFR1" sheetId="20"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3" i="19" l="1"/>
  <c r="B147" i="19" s="1"/>
  <c r="B151" i="19" s="1"/>
  <c r="B155" i="19" s="1"/>
  <c r="B159" i="19" s="1"/>
  <c r="B163" i="19" s="1"/>
  <c r="B167" i="19" s="1"/>
  <c r="B171" i="19" s="1"/>
  <c r="B175" i="19" s="1"/>
  <c r="B179" i="19" s="1"/>
  <c r="B183" i="19" s="1"/>
  <c r="B187" i="19" s="1"/>
  <c r="B191" i="19" s="1"/>
  <c r="B195" i="19" s="1"/>
  <c r="B199" i="19" s="1"/>
  <c r="B203" i="19" s="1"/>
  <c r="B207" i="19" s="1"/>
  <c r="B211" i="19" s="1"/>
  <c r="B215" i="19" s="1"/>
  <c r="B219" i="19" s="1"/>
  <c r="B223" i="19" s="1"/>
  <c r="B227" i="19" s="1"/>
  <c r="B231" i="19" s="1"/>
  <c r="B235" i="19" s="1"/>
  <c r="B239" i="19" s="1"/>
  <c r="B243" i="19" s="1"/>
  <c r="B247" i="19" s="1"/>
  <c r="B251" i="19" s="1"/>
  <c r="B255" i="19" s="1"/>
  <c r="B259" i="19" s="1"/>
  <c r="B263" i="19" s="1"/>
  <c r="C139" i="19"/>
  <c r="C140" i="19" s="1"/>
  <c r="C141" i="19" s="1"/>
  <c r="C142" i="19" s="1"/>
  <c r="C143" i="19" s="1"/>
  <c r="C144" i="19" s="1"/>
  <c r="C145" i="19" s="1"/>
  <c r="C146" i="19" s="1"/>
  <c r="C147" i="19" s="1"/>
  <c r="C148" i="19" s="1"/>
  <c r="C149" i="19" s="1"/>
  <c r="C150" i="19" s="1"/>
  <c r="C151" i="19" s="1"/>
  <c r="C152" i="19" s="1"/>
  <c r="C153" i="19" s="1"/>
  <c r="C154" i="19" s="1"/>
  <c r="C155" i="19" s="1"/>
  <c r="C156" i="19" s="1"/>
  <c r="C157" i="19" s="1"/>
  <c r="C158" i="19" s="1"/>
  <c r="C159" i="19" s="1"/>
  <c r="C160" i="19" s="1"/>
  <c r="C161" i="19" s="1"/>
  <c r="C162" i="19" s="1"/>
  <c r="C163" i="19" s="1"/>
  <c r="C164" i="19" s="1"/>
  <c r="C165" i="19" s="1"/>
  <c r="C166" i="19" s="1"/>
  <c r="C167" i="19" s="1"/>
  <c r="C168" i="19" s="1"/>
  <c r="C169" i="19" s="1"/>
  <c r="C170" i="19" s="1"/>
  <c r="C171" i="19" s="1"/>
  <c r="C172" i="19" s="1"/>
  <c r="C173" i="19" s="1"/>
  <c r="C174" i="19" s="1"/>
  <c r="C175" i="19" s="1"/>
  <c r="C176" i="19" s="1"/>
  <c r="C177" i="19" s="1"/>
  <c r="C178" i="19" s="1"/>
  <c r="C179" i="19" s="1"/>
  <c r="C180" i="19" s="1"/>
  <c r="C181" i="19" s="1"/>
  <c r="C182" i="19" s="1"/>
  <c r="C183" i="19" s="1"/>
  <c r="C184" i="19" s="1"/>
  <c r="C185" i="19" s="1"/>
  <c r="C186" i="19" s="1"/>
  <c r="C187" i="19" s="1"/>
  <c r="C188" i="19" s="1"/>
  <c r="C189" i="19" s="1"/>
  <c r="C190" i="19" s="1"/>
  <c r="C191" i="19" s="1"/>
  <c r="C192" i="19" s="1"/>
  <c r="C193" i="19" s="1"/>
  <c r="C194" i="19" s="1"/>
  <c r="C195" i="19" s="1"/>
  <c r="C196" i="19" s="1"/>
  <c r="C197" i="19" s="1"/>
  <c r="C198" i="19" s="1"/>
  <c r="C199" i="19" s="1"/>
  <c r="C200" i="19" s="1"/>
  <c r="C201" i="19" s="1"/>
  <c r="C202" i="19" s="1"/>
  <c r="C203" i="19" s="1"/>
  <c r="C204" i="19" s="1"/>
  <c r="C205" i="19" s="1"/>
  <c r="C206" i="19" s="1"/>
  <c r="C207" i="19" s="1"/>
  <c r="C208" i="19" s="1"/>
  <c r="C209" i="19" s="1"/>
  <c r="C210" i="19" s="1"/>
  <c r="C211" i="19" s="1"/>
  <c r="C212" i="19" s="1"/>
  <c r="C213" i="19" s="1"/>
  <c r="C214" i="19" s="1"/>
  <c r="C215" i="19" s="1"/>
  <c r="C216" i="19" s="1"/>
  <c r="C217" i="19" s="1"/>
  <c r="C218" i="19" s="1"/>
  <c r="C219" i="19" s="1"/>
  <c r="C220" i="19" s="1"/>
  <c r="C221" i="19" s="1"/>
  <c r="C222" i="19" s="1"/>
  <c r="C223" i="19" s="1"/>
  <c r="C224" i="19" s="1"/>
  <c r="C225" i="19" s="1"/>
  <c r="C226" i="19" s="1"/>
  <c r="C227" i="19" s="1"/>
  <c r="C228" i="19" s="1"/>
  <c r="C229" i="19" s="1"/>
  <c r="C230" i="19" s="1"/>
  <c r="C231" i="19" s="1"/>
  <c r="C232" i="19" s="1"/>
  <c r="C233" i="19" s="1"/>
  <c r="C234" i="19" s="1"/>
  <c r="C235" i="19" s="1"/>
  <c r="C236" i="19" s="1"/>
  <c r="C237" i="19" s="1"/>
  <c r="C238" i="19" s="1"/>
  <c r="C239" i="19" s="1"/>
  <c r="C240" i="19" s="1"/>
  <c r="C241" i="19" s="1"/>
  <c r="C242" i="19" s="1"/>
  <c r="C243" i="19" s="1"/>
  <c r="C244" i="19" s="1"/>
  <c r="C245" i="19" s="1"/>
  <c r="C246" i="19" s="1"/>
  <c r="C247" i="19" s="1"/>
  <c r="C248" i="19" s="1"/>
  <c r="C249" i="19" s="1"/>
  <c r="C250" i="19" s="1"/>
  <c r="C251" i="19" s="1"/>
  <c r="C252" i="19" s="1"/>
  <c r="C253" i="19" s="1"/>
  <c r="C254" i="19" s="1"/>
  <c r="C255" i="19" s="1"/>
  <c r="C256" i="19" s="1"/>
  <c r="C257" i="19" s="1"/>
  <c r="C258" i="19" s="1"/>
  <c r="C259" i="19" s="1"/>
  <c r="C260" i="19" s="1"/>
  <c r="C261" i="19" s="1"/>
  <c r="C262" i="19" s="1"/>
  <c r="C263" i="19" s="1"/>
  <c r="C264" i="19" s="1"/>
  <c r="C265" i="19" s="1"/>
  <c r="C266" i="19" s="1"/>
  <c r="B10" i="19"/>
  <c r="B14" i="19" s="1"/>
  <c r="B18" i="19" s="1"/>
  <c r="B22" i="19" s="1"/>
  <c r="B26" i="19" s="1"/>
  <c r="B30" i="19" s="1"/>
  <c r="B34" i="19" s="1"/>
  <c r="B38" i="19" s="1"/>
  <c r="B42" i="19" s="1"/>
  <c r="B46" i="19" s="1"/>
  <c r="B50" i="19" s="1"/>
  <c r="B54" i="19" s="1"/>
  <c r="B58" i="19" s="1"/>
  <c r="B62" i="19" s="1"/>
  <c r="B66" i="19" s="1"/>
  <c r="B70" i="19" s="1"/>
  <c r="B74" i="19" s="1"/>
  <c r="B78" i="19" s="1"/>
  <c r="B82" i="19" s="1"/>
  <c r="B86" i="19" s="1"/>
  <c r="B90" i="19" s="1"/>
  <c r="B94" i="19" s="1"/>
  <c r="B98" i="19" s="1"/>
  <c r="B102" i="19" s="1"/>
  <c r="B106" i="19" s="1"/>
  <c r="B110" i="19" s="1"/>
  <c r="B114" i="19" s="1"/>
  <c r="B118" i="19" s="1"/>
  <c r="B122" i="19" s="1"/>
  <c r="B126" i="19" s="1"/>
  <c r="B130" i="19" s="1"/>
  <c r="C6" i="19"/>
  <c r="C7" i="19" s="1"/>
  <c r="C8" i="19" s="1"/>
  <c r="C9" i="19" s="1"/>
  <c r="C10" i="19" s="1"/>
  <c r="C11" i="19" s="1"/>
  <c r="C12" i="19" s="1"/>
  <c r="C13" i="19" s="1"/>
  <c r="C14" i="19" s="1"/>
  <c r="C15" i="19" s="1"/>
  <c r="C16" i="19" s="1"/>
  <c r="C17" i="19" s="1"/>
  <c r="C18" i="19" s="1"/>
  <c r="C19" i="19" s="1"/>
  <c r="C20" i="19" s="1"/>
  <c r="C21" i="19" s="1"/>
  <c r="C22" i="19" s="1"/>
  <c r="C23" i="19" s="1"/>
  <c r="C24" i="19" s="1"/>
  <c r="C25" i="19" s="1"/>
  <c r="C26" i="19" s="1"/>
  <c r="C27" i="19" s="1"/>
  <c r="C28" i="19" s="1"/>
  <c r="C29" i="19" s="1"/>
  <c r="C30" i="19" s="1"/>
  <c r="C31" i="19" s="1"/>
  <c r="C32" i="19" s="1"/>
  <c r="C33" i="19" s="1"/>
  <c r="C34" i="19" s="1"/>
  <c r="C35" i="19" s="1"/>
  <c r="C36" i="19" s="1"/>
  <c r="C37" i="19" s="1"/>
  <c r="C38" i="19" s="1"/>
  <c r="C39" i="19" s="1"/>
  <c r="C40" i="19" s="1"/>
  <c r="C41" i="19" s="1"/>
  <c r="C42" i="19" s="1"/>
  <c r="C43" i="19" s="1"/>
  <c r="C44" i="19" s="1"/>
  <c r="C45" i="19" s="1"/>
  <c r="C46" i="19" s="1"/>
  <c r="C47" i="19" s="1"/>
  <c r="C48" i="19" s="1"/>
  <c r="C49" i="19" s="1"/>
  <c r="C50" i="19" s="1"/>
  <c r="C51" i="19" s="1"/>
  <c r="C52" i="19" s="1"/>
  <c r="C53" i="19" s="1"/>
  <c r="C54" i="19" s="1"/>
  <c r="C55" i="19" s="1"/>
  <c r="C56" i="19" s="1"/>
  <c r="C57" i="19" s="1"/>
  <c r="C58" i="19" s="1"/>
  <c r="C59" i="19" s="1"/>
  <c r="C60" i="19" s="1"/>
  <c r="C61" i="19" s="1"/>
  <c r="C62" i="19" s="1"/>
  <c r="C63" i="19" s="1"/>
  <c r="C64" i="19" s="1"/>
  <c r="C65" i="19" s="1"/>
  <c r="C66" i="19" s="1"/>
  <c r="C67" i="19" s="1"/>
  <c r="C68" i="19" s="1"/>
  <c r="C69" i="19" s="1"/>
  <c r="C70" i="19" s="1"/>
  <c r="C71" i="19" s="1"/>
  <c r="C72" i="19" s="1"/>
  <c r="C73" i="19" s="1"/>
  <c r="C74" i="19" s="1"/>
  <c r="C75" i="19" s="1"/>
  <c r="C76" i="19" s="1"/>
  <c r="C77" i="19" s="1"/>
  <c r="C78" i="19" s="1"/>
  <c r="C79" i="19" s="1"/>
  <c r="C80" i="19" s="1"/>
  <c r="C81" i="19" s="1"/>
  <c r="C82" i="19" s="1"/>
  <c r="C83" i="19" s="1"/>
  <c r="C84" i="19" s="1"/>
  <c r="C85" i="19" s="1"/>
  <c r="C86" i="19" s="1"/>
  <c r="C87" i="19" s="1"/>
  <c r="C88" i="19" s="1"/>
  <c r="C89" i="19" s="1"/>
  <c r="C90" i="19" s="1"/>
  <c r="C91" i="19" s="1"/>
  <c r="C92" i="19" s="1"/>
  <c r="C93" i="19" s="1"/>
  <c r="C94" i="19" s="1"/>
  <c r="C95" i="19" s="1"/>
  <c r="C96" i="19" s="1"/>
  <c r="C97" i="19" s="1"/>
  <c r="C98" i="19" s="1"/>
  <c r="C99" i="19" s="1"/>
  <c r="C100" i="19" s="1"/>
  <c r="C101" i="19" s="1"/>
  <c r="C102" i="19" s="1"/>
  <c r="C103" i="19" s="1"/>
  <c r="C104" i="19" s="1"/>
  <c r="C105" i="19" s="1"/>
  <c r="C106" i="19" s="1"/>
  <c r="C107" i="19" s="1"/>
  <c r="C108" i="19" s="1"/>
  <c r="C109" i="19" s="1"/>
  <c r="C110" i="19" s="1"/>
  <c r="C111" i="19" s="1"/>
  <c r="C112" i="19" s="1"/>
  <c r="C113" i="19" s="1"/>
  <c r="C114" i="19" s="1"/>
  <c r="C115" i="19" s="1"/>
  <c r="C116" i="19" s="1"/>
  <c r="C117" i="19" s="1"/>
  <c r="C118" i="19" s="1"/>
  <c r="C119" i="19" s="1"/>
  <c r="C120" i="19" s="1"/>
  <c r="C121" i="19" s="1"/>
  <c r="C122" i="19" s="1"/>
  <c r="C123" i="19" s="1"/>
  <c r="C124" i="19" s="1"/>
  <c r="C125" i="19" s="1"/>
  <c r="C126" i="19" s="1"/>
  <c r="C127" i="19" s="1"/>
  <c r="C128" i="19" s="1"/>
  <c r="C129" i="19" s="1"/>
  <c r="C130" i="19" s="1"/>
  <c r="C131" i="19" s="1"/>
  <c r="C132" i="19" s="1"/>
  <c r="C133" i="19" s="1"/>
  <c r="F4" i="19"/>
  <c r="G4" i="19" s="1"/>
  <c r="H4" i="19" s="1"/>
  <c r="I4" i="19" s="1"/>
  <c r="J4" i="19" s="1"/>
  <c r="K4" i="19" s="1"/>
  <c r="L4" i="19" s="1"/>
  <c r="M4" i="19" s="1"/>
  <c r="N4" i="19" s="1"/>
  <c r="O4" i="19" s="1"/>
  <c r="P4" i="19" s="1"/>
  <c r="Q4" i="19" s="1"/>
  <c r="R4" i="19" s="1"/>
  <c r="S4" i="19" s="1"/>
  <c r="T4" i="19" s="1"/>
  <c r="U4" i="19" s="1"/>
  <c r="V4" i="19" s="1"/>
  <c r="W4" i="19" s="1"/>
  <c r="X4" i="19" s="1"/>
  <c r="Y4" i="19" s="1"/>
  <c r="Z4" i="19" s="1"/>
  <c r="AA4" i="19" s="1"/>
  <c r="AB4" i="19" s="1"/>
  <c r="AC4" i="19" s="1"/>
  <c r="AD4" i="19" s="1"/>
  <c r="AE4" i="19" s="1"/>
  <c r="AF4" i="19" s="1"/>
  <c r="AG4" i="19" s="1"/>
  <c r="AH4" i="19" s="1"/>
  <c r="AI4" i="19" s="1"/>
  <c r="AJ4" i="19" s="1"/>
  <c r="F1" i="19"/>
  <c r="G1" i="19" s="1"/>
  <c r="H1" i="19" s="1"/>
  <c r="I1" i="19" s="1"/>
  <c r="J1" i="19" s="1"/>
  <c r="K1" i="19" s="1"/>
  <c r="L1" i="19" s="1"/>
  <c r="M1" i="19" s="1"/>
  <c r="N1" i="19" s="1"/>
  <c r="O1" i="19" s="1"/>
  <c r="P1" i="19" s="1"/>
  <c r="Q1" i="19" s="1"/>
  <c r="R1" i="19" s="1"/>
  <c r="S1" i="19" s="1"/>
  <c r="T1" i="19" s="1"/>
  <c r="U1" i="19" s="1"/>
  <c r="V1" i="19" s="1"/>
  <c r="W1" i="19" s="1"/>
  <c r="X1" i="19" s="1"/>
  <c r="Y1" i="19" s="1"/>
  <c r="Z1" i="19" s="1"/>
  <c r="AA1" i="19" s="1"/>
  <c r="AB1" i="19" s="1"/>
  <c r="AC1" i="19" s="1"/>
  <c r="AD1" i="19" s="1"/>
  <c r="AE1" i="19" s="1"/>
  <c r="AF1" i="19" s="1"/>
  <c r="AG1" i="19" s="1"/>
  <c r="AH1" i="19" s="1"/>
  <c r="AI1" i="19" s="1"/>
  <c r="AJ1"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Durgesh Pattamatta</author>
    <author>Melissa A Hunter</author>
    <author>Roy Chen</author>
    <author>Alex Qiu</author>
  </authors>
  <commentList>
    <comment ref="U6" authorId="0" shapeId="0" xr:uid="{7A6E238E-C568-42DC-B68D-136DEC2D1467}">
      <text>
        <r>
          <rPr>
            <b/>
            <sz val="9"/>
            <color indexed="81"/>
            <rFont val="Tahoma"/>
            <family val="2"/>
          </rPr>
          <t xml:space="preserve">Inverted value of CFPA_LC_STATE.
</t>
        </r>
        <r>
          <rPr>
            <sz val="9"/>
            <color indexed="81"/>
            <rFont val="Tahoma"/>
            <family val="2"/>
          </rPr>
          <t>This INV_CPFA_LC_STATE ^ CFPA_LC_STATE[7:0] should be 0xFF, otherwise the CPFA_LC_STATE will not be valid.</t>
        </r>
        <r>
          <rPr>
            <sz val="9"/>
            <color indexed="81"/>
            <rFont val="Tahoma"/>
            <family val="2"/>
          </rPr>
          <t xml:space="preserve">
</t>
        </r>
      </text>
    </comment>
    <comment ref="AC6" authorId="0" shapeId="0" xr:uid="{C2F8C5D3-6484-4DA2-B978-946C80C2C496}">
      <text>
        <r>
          <rPr>
            <sz val="12"/>
            <color theme="1"/>
            <rFont val="Calibri"/>
            <family val="2"/>
            <scheme val="minor"/>
          </rPr>
          <t xml:space="preserve">Life cycle state.
This field can be used to advance life cycle state to 0x7, 0xF or 0xCF during development (OTP_LC_STATE = 0x3) for testing deployed states without programing OTP fuse. For actual mass production, be sure to modify the lifecycle through OTP/efuse rather than through CFPA_LC_STATE field.
When CFPA is used to advance LC state, then application code should implement hooks, to revert CFPA_LC_STATE field to 0x3 to bring the device back to OEM_DEVELOP state (0x03). One such example is a GPIO interrupt handler invoked on a button press which modified the CFPA_LC_STATE to 0x3.
Customer can use the CFPA_LC_STATE to advance the LC to Develop2 (0x7), In-field (0xF) and In-field Locked (0xCF) when the current efuse lifecycle is Develop (0x3). After the CFPA_LC_STATE has been set as advanced lifecycle, the CFPA_LC_STATE will be functional after warming reset the device, not the POR and wakeup reset type.
But for the debug port, the following steps are required to make CFPA_LC_STATE effective for the debug port:
1.	Perform a Power-on Reset while pulling down the ISP pin, to ensure that it directly enters ISP mode after POR.
2.	Then perform a warm reset, such as a pin reset. 
Below are the allowed values for this field. Use of other values may lead to bricked state.
0x00 - Use LC state from OTP.
0x03 - Develop  state
0x07 - Develop 2 state
0x0F - In-field state
0xCF - In-field locked state
</t>
        </r>
      </text>
    </comment>
    <comment ref="E7" authorId="0" shapeId="0" xr:uid="{40157704-E53E-496C-96A9-D2143B31B961}">
      <text>
        <r>
          <rPr>
            <sz val="12"/>
            <color theme="1"/>
            <rFont val="Calibri"/>
            <family val="2"/>
            <scheme val="minor"/>
          </rPr>
          <t xml:space="preserve">Update DICE certificate during next boot.
0 - No action
1 - Generate certificate. 
</t>
        </r>
      </text>
    </comment>
    <comment ref="G7" authorId="0" shapeId="0" xr:uid="{3538BB4F-76DC-490D-BC34-66BF71365DF9}">
      <text>
        <r>
          <rPr>
            <sz val="12"/>
            <color theme="1"/>
            <rFont val="Calibri"/>
            <family val="2"/>
            <scheme val="minor"/>
          </rPr>
          <t>CMPA page updated through ROM API. Thus compute CMAC on sub-sequent boot. This field is checked only in Develop (0x3)  LC state.
* 000 - No action
* 010 - Update CMAC field in CMPA page. 
* 011 - Update CMAC field in CMPA page and OTP. Advance OTP_LC_STATE to Develop2 (0x7).
* 101 - Update CMAC field in CMPA page and OTP. Advance OTP_LC_STATE to In-field (0xF).
* 110  - Update CMAC field in CMPA page and OTP. Advance OTP_LC_STATE to In-field Locked (0xCF).
* All other combinations update CMAC field in CMPA page.</t>
        </r>
      </text>
    </comment>
    <comment ref="K7" authorId="0" shapeId="0" xr:uid="{50614EF0-C624-42C9-8FF4-8F404788B58A}">
      <text>
        <r>
          <rPr>
            <sz val="12"/>
            <color theme="1"/>
            <rFont val="Calibri"/>
            <family val="2"/>
            <scheme val="minor"/>
          </rPr>
          <t xml:space="preserve">Image updated.
00 - No action
01 - Update image 0 CMAC
10 - Update image 1 CMAC 
11 - Update SBL image CMAC (image in IFR0 0x0100_8000). Value written in IMG0_CMAC field.
Note: CMAC boot is only supported for internal flash. If using a FlexSPI flash XIP image, then this field should always be left as zero. </t>
        </r>
      </text>
    </comment>
    <comment ref="M7" authorId="0" shapeId="0" xr:uid="{170F2B0C-1E6C-4B57-B27F-701E49B19D25}">
      <text>
        <r>
          <rPr>
            <sz val="12"/>
            <color theme="1"/>
            <rFont val="Calibri"/>
            <family val="2"/>
            <scheme val="minor"/>
          </rPr>
          <t xml:space="preserve">CFPA page version.
ROM enforces monotonic increment check during CFPA-CMAC page update. If the new counter value is less than the value in active CFPA page, then the update is rejected and CMAC signing is skipped. CFPA_PAGE_VERSION may begin at 0x1 and user may manually increment the value by 1 or use value 0xFF_FFFF and ROM will auto-increment this field.
</t>
        </r>
      </text>
    </comment>
    <comment ref="E8" authorId="0" shapeId="0" xr:uid="{7E54FFEC-A715-472F-84F9-8B21BAF8870F}">
      <text>
        <r>
          <rPr>
            <sz val="12"/>
            <color theme="1"/>
            <rFont val="Calibri"/>
            <family val="2"/>
            <scheme val="minor"/>
          </rPr>
          <t>Secure Firmware version.
This monotonic counter field tracks the firmware version of secure partition. 
ROM uses this field to enforce anti-rollback checking during secure boot and secure update (SB3 header).  
For image authentication pass during secure boot the FW version in image manifest must be equal or greater than this value. 
During secure update &amp; recovery boot the version number in SB3 header Must be equal or greater than the value in this field.
Apart from SB3 header check, user can enforce anti-rollback check during SB3 processing by using "kSB3_COMMAND_fwVersionCheck" SB command with 'kNBOOT_CNT_secure' counter ID parameter, in SB3 file.</t>
        </r>
      </text>
    </comment>
    <comment ref="E9" authorId="0" shapeId="0" xr:uid="{E821F75C-DD79-456B-B542-FEC346344935}">
      <text>
        <r>
          <rPr>
            <b/>
            <sz val="9"/>
            <color indexed="81"/>
            <rFont val="Tahoma"/>
            <family val="2"/>
          </rPr>
          <t>Non-Secure Firmware version.</t>
        </r>
        <r>
          <rPr>
            <sz val="9"/>
            <color indexed="81"/>
            <rFont val="Tahoma"/>
            <family val="2"/>
          </rPr>
          <t xml:space="preserve">
This monotonic counter field can be used to track the firmware version of non-secure partition.  An antirollback check can be enforced during update by using this field and "kSB3_COMMAND_fwVersionCheck" SB command with 'kNBOOT_CNT_nonsecure' counter ID parameter, in SB3 file.
</t>
        </r>
      </text>
    </comment>
    <comment ref="E11" authorId="0" shapeId="0" xr:uid="{C72D2E39-14EF-4B8C-98A1-C7C181ED40C2}">
      <text>
        <r>
          <rPr>
            <sz val="12"/>
            <color theme="1"/>
            <rFont val="Calibri"/>
            <family val="2"/>
            <scheme val="minor"/>
          </rPr>
          <t xml:space="preserve">OEM assets erase done flag.
ROM sets this field to 0xA after erasing the user flash and OEM assets. This operation is done on first boot after OTP_LC_STATE is advanced to 0x1F or higher states. 
On every boot ROM checks if LC_STATE is greater or equal to 0x1F and this field is empty in active CFPA page, then it erases OEM assets and updates this field in CFPA before freezing CFPA pages and enabling debug access. If the field is already set  to 0xA then it proceeds without erasing user flash area.
</t>
        </r>
      </text>
    </comment>
    <comment ref="AC11" authorId="0" shapeId="0" xr:uid="{E8DEACDE-5B7D-4CE6-A3BF-557498414D80}">
      <text>
        <r>
          <rPr>
            <sz val="12"/>
            <color theme="1"/>
            <rFont val="Calibri"/>
            <family val="2"/>
            <scheme val="minor"/>
          </rPr>
          <t xml:space="preserve">RoT Key 3 enable. Determines if ROTK3 can be used during secure boot. 
00,01 - Enabled
10, 11 - Key revoked
</t>
        </r>
      </text>
    </comment>
    <comment ref="AE11" authorId="0" shapeId="0" xr:uid="{899BD64D-53AD-46AF-B4E9-95DDB5C53CB9}">
      <text>
        <r>
          <rPr>
            <sz val="12"/>
            <color theme="1"/>
            <rFont val="Calibri"/>
            <family val="2"/>
            <scheme val="minor"/>
          </rPr>
          <t xml:space="preserve">RoT Key 2 enable. Determines if ROTK2 can be used during secure boot. 
00, 01 - Enabled
10, 11 - Key revoked
</t>
        </r>
      </text>
    </comment>
    <comment ref="AG11" authorId="0" shapeId="0" xr:uid="{C866078B-ADD7-4EB6-8707-804C816A2603}">
      <text>
        <r>
          <rPr>
            <sz val="12"/>
            <color theme="1"/>
            <rFont val="Calibri"/>
            <family val="2"/>
            <scheme val="minor"/>
          </rPr>
          <t xml:space="preserve">RoT Key 1 enable. Determines if ROTK1 can be used during secure boot. 
00, 01 - Enabled
10, 11 - Key revoked
</t>
        </r>
      </text>
    </comment>
    <comment ref="AI11" authorId="0" shapeId="0" xr:uid="{20EA5FBF-A8B9-4A9E-8E80-66612670AFDB}">
      <text>
        <r>
          <rPr>
            <sz val="12"/>
            <color theme="1"/>
            <rFont val="Calibri"/>
            <family val="2"/>
            <scheme val="minor"/>
          </rPr>
          <t xml:space="preserve">RoT Key 0 enable. Determines if ROTK0 can be used during secure boot. 
00, 01 - Enabled
10, 11 - Key revoked
</t>
        </r>
      </text>
    </comment>
    <comment ref="M12" authorId="0" shapeId="0" xr:uid="{A15A8908-2442-45AA-8D1A-835648D75268}">
      <text>
        <r>
          <rPr>
            <sz val="12"/>
            <color theme="1"/>
            <rFont val="Calibri"/>
            <family val="2"/>
            <scheme val="minor"/>
          </rPr>
          <t xml:space="preserve">Image signing key revocation counter.
This monotonically increasing unary encode counter (e.g., 0x0, 0x1, 0x3, 0x7, 0xF...) field is used by boot ROM to enforce image signing key (ISK) certificate revocation policy. 
Boot ROM accepts an ISK certificate as valid only if the "constraint" field in ISK certificate is the same or greater than the ISK revocation counter.
The 32-bit ISK revocation counter is formed using 8 bits of IMAGE_KEY_REVOKE[7:0] field in OTP as MSB bits and lower 24 bits from this field.
ISK certificate validation is done as part of boot, FW update (SB3) and recovery (SB3) image authentication.
</t>
        </r>
      </text>
    </comment>
    <comment ref="E13" authorId="1" shapeId="0" xr:uid="{A258E018-7E08-48C2-A6F2-52DC88C16A95}">
      <text>
        <r>
          <rPr>
            <sz val="9"/>
            <color indexed="81"/>
            <rFont val="Tahoma"/>
            <family val="2"/>
          </rPr>
          <t>Vector address when waking from power-down &amp; deep power down states when CMPA.LP_SEC_BOOT is set to 2b'10.</t>
        </r>
      </text>
    </comment>
    <comment ref="U14" authorId="0" shapeId="0" xr:uid="{9CF72C16-AE62-4C21-AE2A-F0C085B610F7}">
      <text>
        <r>
          <rPr>
            <sz val="12"/>
            <color theme="1"/>
            <rFont val="Calibri"/>
            <family val="2"/>
            <scheme val="minor"/>
          </rPr>
          <t xml:space="preserve">Debug certificate revocation counter.
This monotonic counter field is used for revoking debug certificates.
As part of debug authentication, CC_VU field in debug certificate/credential is checked against DCFG_VENDOR_USAGE value.
The 32-bit DCFG_VENDOR_USAGE is formed using upper 16 bit of CMPA.VENDOR_USAGE and lower 16 bits of this field.  
</t>
        </r>
      </text>
    </comment>
    <comment ref="D15" authorId="0" shapeId="0" xr:uid="{93627BD7-F4A9-4A59-84E5-0670A82F145A}">
      <text>
        <r>
          <rPr>
            <sz val="12"/>
            <color theme="1"/>
            <rFont val="Calibri"/>
            <family val="2"/>
            <scheme val="minor"/>
          </rPr>
          <t xml:space="preserve">With TZ-M, the part can be sold by level 1 customers (secure code developer) to level-2 customers who develops non-secure code only.
    - In this scenario,  for ease of development, Level 1 customer releases the part to always allow non-secure debug. 
    - To allow level-2 customers to further seal the part  DCFG_CC_SOCU_NS is used.
    - ROM will use this word to further restrict the debug access. </t>
        </r>
      </text>
    </comment>
    <comment ref="U15" authorId="0" shapeId="0" xr:uid="{4BE1AE20-B340-40CD-9553-4A88F2163258}">
      <text>
        <r>
          <rPr>
            <sz val="9"/>
            <color indexed="81"/>
            <rFont val="Tahoma"/>
            <family val="2"/>
          </rPr>
          <t xml:space="preserve">Enforce UUID match during Debug authentication.
0 -  Debug certificate can be used with all devices.
1 - Debug certificate per device with matching UUID is needed. </t>
        </r>
      </text>
    </comment>
    <comment ref="Z15" authorId="0" shapeId="0" xr:uid="{FCC22AD6-EC4B-4458-80BC-2756E6586BD9}">
      <text>
        <r>
          <rPr>
            <b/>
            <sz val="9"/>
            <color indexed="81"/>
            <rFont val="Tahoma"/>
            <family val="2"/>
          </rPr>
          <t>Second CM33 debug</t>
        </r>
        <r>
          <rPr>
            <sz val="9"/>
            <color indexed="81"/>
            <rFont val="Tahoma"/>
            <family val="2"/>
          </rPr>
          <t xml:space="preserve"> 
Fixed state
0 - Disabled
1 - Enabled</t>
        </r>
      </text>
    </comment>
    <comment ref="AA15" authorId="0" shapeId="0" xr:uid="{75A7BA55-7A91-4139-BF38-357530646753}">
      <text>
        <r>
          <rPr>
            <sz val="12"/>
            <color theme="1"/>
            <rFont val="Calibri"/>
            <family val="2"/>
            <scheme val="minor"/>
          </rPr>
          <t>Second CM33 non-invasive debug enable
0 - Use DAP to enable
1 - Fixed state</t>
        </r>
      </text>
    </comment>
    <comment ref="AB15" authorId="0" shapeId="0" xr:uid="{435677EC-80B5-44D4-B8A3-F9D5797C25A8}">
      <text>
        <r>
          <rPr>
            <b/>
            <sz val="9"/>
            <color indexed="81"/>
            <rFont val="Tahoma"/>
            <family val="2"/>
          </rPr>
          <t>Flash Mass Erase cmd</t>
        </r>
        <r>
          <rPr>
            <sz val="9"/>
            <color indexed="81"/>
            <rFont val="Tahoma"/>
            <family val="2"/>
          </rPr>
          <t xml:space="preserve"> enable
0 - Use DAP to enable
1 - Fixed state</t>
        </r>
      </text>
    </comment>
    <comment ref="AC15" authorId="0" shapeId="0" xr:uid="{4F797FA3-7172-495F-B3EA-2F511CA434D8}">
      <text>
        <r>
          <rPr>
            <sz val="12"/>
            <color theme="1"/>
            <rFont val="Calibri"/>
            <family val="2"/>
            <scheme val="minor"/>
          </rPr>
          <t>Set FA mode command enable
0 - Use DAP to enable
1 - Fixed state</t>
        </r>
      </text>
    </comment>
    <comment ref="AD15" authorId="0" shapeId="0" xr:uid="{817475A3-291B-49A9-98AB-5F00E29F3547}">
      <text>
        <r>
          <rPr>
            <b/>
            <sz val="9"/>
            <color indexed="81"/>
            <rFont val="Tahoma"/>
            <family val="2"/>
          </rPr>
          <t>ISP boot command</t>
        </r>
        <r>
          <rPr>
            <sz val="9"/>
            <color indexed="81"/>
            <rFont val="Tahoma"/>
            <family val="2"/>
          </rPr>
          <t xml:space="preserve"> enable
0 - Use DAP to enable
1 - Fixed state</t>
        </r>
      </text>
    </comment>
    <comment ref="AE15" authorId="0" shapeId="0" xr:uid="{1D24358B-C162-4629-A813-FD1B1C2BDAA6}">
      <text>
        <r>
          <rPr>
            <b/>
            <sz val="9"/>
            <color indexed="81"/>
            <rFont val="Tahoma"/>
            <family val="2"/>
          </rPr>
          <t>DSP debug</t>
        </r>
        <r>
          <rPr>
            <sz val="9"/>
            <color indexed="81"/>
            <rFont val="Tahoma"/>
            <family val="2"/>
          </rPr>
          <t xml:space="preserve"> enable CoolFlex debug.
0 - Use DAP to enable
1 - Fixed state</t>
        </r>
      </text>
    </comment>
    <comment ref="AG15" authorId="0" shapeId="0" xr:uid="{6032E1AD-11D5-45A1-B03F-7E251383A2D6}">
      <text>
        <r>
          <rPr>
            <b/>
            <sz val="9"/>
            <color indexed="81"/>
            <rFont val="Tahoma"/>
            <family val="2"/>
          </rPr>
          <t>Secure invasive debug</t>
        </r>
        <r>
          <rPr>
            <sz val="9"/>
            <color indexed="81"/>
            <rFont val="Tahoma"/>
            <family val="2"/>
          </rPr>
          <t xml:space="preserve"> enable
0 - Use DAP to enable
1 - Fixed state</t>
        </r>
      </text>
    </comment>
    <comment ref="AH15" authorId="0" shapeId="0" xr:uid="{2D3255FE-FA34-42E9-B429-D540429AD432}">
      <text>
        <r>
          <rPr>
            <b/>
            <sz val="9"/>
            <color indexed="81"/>
            <rFont val="Tahoma"/>
            <family val="2"/>
          </rPr>
          <t>Secure non-invasive debug</t>
        </r>
        <r>
          <rPr>
            <sz val="9"/>
            <color indexed="81"/>
            <rFont val="Tahoma"/>
            <family val="2"/>
          </rPr>
          <t xml:space="preserve"> enable
0 - Use DAP to enable
1 - Fixed state</t>
        </r>
      </text>
    </comment>
    <comment ref="AI15" authorId="0" shapeId="0" xr:uid="{16273E96-E23C-4B05-9944-15199A73BA82}">
      <text>
        <r>
          <rPr>
            <b/>
            <sz val="9"/>
            <color indexed="81"/>
            <rFont val="Tahoma"/>
            <family val="2"/>
          </rPr>
          <t>Non Secure debug</t>
        </r>
        <r>
          <rPr>
            <sz val="9"/>
            <color indexed="81"/>
            <rFont val="Tahoma"/>
            <family val="2"/>
          </rPr>
          <t xml:space="preserve"> enable
0 - Use DAP to enable
1 - Fixed state</t>
        </r>
      </text>
    </comment>
    <comment ref="AJ15" authorId="0" shapeId="0" xr:uid="{19D4D2D4-237D-47C2-9D6A-3E6E5C8639AE}">
      <text>
        <r>
          <rPr>
            <b/>
            <sz val="9"/>
            <color indexed="81"/>
            <rFont val="Tahoma"/>
            <family val="2"/>
          </rPr>
          <t>Non Secure non-invasive debug</t>
        </r>
        <r>
          <rPr>
            <sz val="9"/>
            <color indexed="81"/>
            <rFont val="Tahoma"/>
            <family val="2"/>
          </rPr>
          <t xml:space="preserve"> enable
0 - Use DAP to enable
1 - Fixed state</t>
        </r>
      </text>
    </comment>
    <comment ref="D16" authorId="0" shapeId="0" xr:uid="{E7BE954F-B294-42B0-AC2F-F00A83ECF5E0}">
      <text>
        <r>
          <rPr>
            <sz val="9"/>
            <color indexed="81"/>
            <rFont val="Tahoma"/>
            <family val="2"/>
          </rPr>
          <t xml:space="preserve">With TZ-M, the part can be sold by level 1 customers (secure code developer) to level-2 customers who develops non-secure code only.
    - In this scenario,  or easy of development, Level-I customer releases the part to always allow non-secure debug. 
    - To allow level-2 customers to further seal the part  DCFG_CC_SOCU_NS is used.
    - ROM will use this word to further restrict the debug access. </t>
        </r>
      </text>
    </comment>
    <comment ref="Z16" authorId="0" shapeId="0" xr:uid="{3AF711DA-8748-4C0B-8B7D-A51D5E274C6E}">
      <text>
        <r>
          <rPr>
            <b/>
            <sz val="9"/>
            <color indexed="81"/>
            <rFont val="Tahoma"/>
            <family val="2"/>
          </rPr>
          <t>Second CM33 debug</t>
        </r>
        <r>
          <rPr>
            <sz val="9"/>
            <color indexed="81"/>
            <rFont val="Tahoma"/>
            <family val="2"/>
          </rPr>
          <t xml:space="preserve"> 
Fixed state
0 - Disabled
1 - Enabled</t>
        </r>
      </text>
    </comment>
    <comment ref="AA16" authorId="0" shapeId="0" xr:uid="{AB2E6B71-26E6-44B0-A182-98E279B47B57}">
      <text>
        <r>
          <rPr>
            <sz val="12"/>
            <color theme="1"/>
            <rFont val="Calibri"/>
            <family val="2"/>
            <scheme val="minor"/>
          </rPr>
          <t>Second CM33 non-invasive debug 
Fixed state
0 - Disabled
1 - Enabled</t>
        </r>
      </text>
    </comment>
    <comment ref="AB16" authorId="0" shapeId="0" xr:uid="{176F277F-5C3F-4D3C-951D-35B7F2A60C2C}">
      <text>
        <r>
          <rPr>
            <b/>
            <sz val="9"/>
            <color indexed="81"/>
            <rFont val="Tahoma"/>
            <family val="2"/>
          </rPr>
          <t xml:space="preserve">Mass erase flash command </t>
        </r>
        <r>
          <rPr>
            <sz val="9"/>
            <color indexed="81"/>
            <rFont val="Tahoma"/>
            <family val="2"/>
          </rPr>
          <t>f</t>
        </r>
        <r>
          <rPr>
            <sz val="9"/>
            <color indexed="81"/>
            <rFont val="Tahoma"/>
            <family val="2"/>
          </rPr>
          <t>ixed state
0 - Disabled
1 - Enabled</t>
        </r>
      </text>
    </comment>
    <comment ref="AC16" authorId="0" shapeId="0" xr:uid="{3E30A988-8A7D-4BAB-8D29-5262D4834FC6}">
      <text>
        <r>
          <rPr>
            <sz val="9"/>
            <color indexed="81"/>
            <rFont val="Tahoma"/>
            <family val="2"/>
          </rPr>
          <t xml:space="preserve">Set </t>
        </r>
        <r>
          <rPr>
            <b/>
            <sz val="9"/>
            <color indexed="81"/>
            <rFont val="Tahoma"/>
            <family val="2"/>
          </rPr>
          <t>FA mode command</t>
        </r>
        <r>
          <rPr>
            <sz val="9"/>
            <color indexed="81"/>
            <rFont val="Tahoma"/>
            <family val="2"/>
          </rPr>
          <t xml:space="preserve"> Fixed state
0 - Disabled
1 - Enabled</t>
        </r>
      </text>
    </comment>
    <comment ref="AD16" authorId="0" shapeId="0" xr:uid="{082BBCB0-303A-4F99-89BF-25880D73A96B}">
      <text>
        <r>
          <rPr>
            <b/>
            <sz val="9"/>
            <color indexed="81"/>
            <rFont val="Tahoma"/>
            <family val="2"/>
          </rPr>
          <t xml:space="preserve">ISP command </t>
        </r>
        <r>
          <rPr>
            <sz val="9"/>
            <color indexed="81"/>
            <rFont val="Tahoma"/>
            <family val="2"/>
          </rPr>
          <t>Fixed state
0 - Disabled
1 - Enabled</t>
        </r>
      </text>
    </comment>
    <comment ref="AE16" authorId="0" shapeId="0" xr:uid="{7C339021-2B93-4A56-8F17-A0C8C8F53534}">
      <text>
        <r>
          <rPr>
            <b/>
            <sz val="9"/>
            <color indexed="81"/>
            <rFont val="Tahoma"/>
            <family val="2"/>
          </rPr>
          <t xml:space="preserve">DSP debug. </t>
        </r>
        <r>
          <rPr>
            <sz val="9"/>
            <color indexed="81"/>
            <rFont val="Tahoma"/>
            <family val="2"/>
          </rPr>
          <t>Enable CoolFlux debug
Fixed state
0 - Disabled
1 - Enabled</t>
        </r>
      </text>
    </comment>
    <comment ref="AG16" authorId="0" shapeId="0" xr:uid="{5CE4996F-2522-4404-9672-94E62782D3CD}">
      <text>
        <r>
          <rPr>
            <b/>
            <sz val="9"/>
            <color indexed="81"/>
            <rFont val="Tahoma"/>
            <family val="2"/>
          </rPr>
          <t>Secure invasive debug</t>
        </r>
        <r>
          <rPr>
            <sz val="9"/>
            <color indexed="81"/>
            <rFont val="Tahoma"/>
            <family val="2"/>
          </rPr>
          <t xml:space="preserve"> Fixed state
0 - Disabled
1 - Enabled</t>
        </r>
      </text>
    </comment>
    <comment ref="AH16" authorId="0" shapeId="0" xr:uid="{95ABF9ED-0708-4716-BC53-7B1D0C616F37}">
      <text>
        <r>
          <rPr>
            <b/>
            <sz val="9"/>
            <color indexed="81"/>
            <rFont val="Tahoma"/>
            <family val="2"/>
          </rPr>
          <t>Secure non-invasive debug</t>
        </r>
        <r>
          <rPr>
            <sz val="9"/>
            <color indexed="81"/>
            <rFont val="Tahoma"/>
            <family val="2"/>
          </rPr>
          <t xml:space="preserve"> Fixed state
0 - Disabled
1 - Enabled</t>
        </r>
      </text>
    </comment>
    <comment ref="AI16" authorId="0" shapeId="0" xr:uid="{0EFF6C02-62CF-4747-B8EF-6BA345C3B72D}">
      <text>
        <r>
          <rPr>
            <b/>
            <sz val="9"/>
            <color indexed="81"/>
            <rFont val="Tahoma"/>
            <family val="2"/>
          </rPr>
          <t>Non Secure debug</t>
        </r>
        <r>
          <rPr>
            <sz val="9"/>
            <color indexed="81"/>
            <rFont val="Tahoma"/>
            <family val="2"/>
          </rPr>
          <t xml:space="preserve"> Fixed state
0 - Disabled
1 - Enabled</t>
        </r>
      </text>
    </comment>
    <comment ref="AJ16" authorId="0" shapeId="0" xr:uid="{B174828A-BEDC-4920-A728-766FE13CD6D4}">
      <text>
        <r>
          <rPr>
            <b/>
            <sz val="9"/>
            <color indexed="81"/>
            <rFont val="Tahoma"/>
            <family val="2"/>
          </rPr>
          <t>Non Secure non-invasive debug</t>
        </r>
        <r>
          <rPr>
            <sz val="9"/>
            <color indexed="81"/>
            <rFont val="Tahoma"/>
            <family val="2"/>
          </rPr>
          <t xml:space="preserve"> Fixed state
0 - Disabled
1 - Enabled</t>
        </r>
      </text>
    </comment>
    <comment ref="E18" authorId="0" shapeId="0" xr:uid="{928A6B39-9372-4BD0-8FBC-E11E882CF826}">
      <text>
        <r>
          <rPr>
            <sz val="12"/>
            <color theme="1"/>
            <rFont val="Calibri"/>
            <family val="2"/>
            <scheme val="minor"/>
          </rPr>
          <t>Erase counter for Prince region 0.
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19" authorId="0" shapeId="0" xr:uid="{16B4FED5-4903-4E25-8F4F-B68D0C9972E6}">
      <text>
        <r>
          <rPr>
            <b/>
            <sz val="9"/>
            <color indexed="81"/>
            <rFont val="Tahoma"/>
            <family val="2"/>
          </rPr>
          <t xml:space="preserve">Erase counter for Prince region 1.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20" authorId="0" shapeId="0" xr:uid="{35B8F396-BAE7-4E76-80B9-81628B3F8A5E}">
      <text>
        <r>
          <rPr>
            <b/>
            <sz val="9"/>
            <color indexed="81"/>
            <rFont val="Tahoma"/>
            <family val="2"/>
          </rPr>
          <t xml:space="preserve">Erase counter for Prince region 2.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21" authorId="0" shapeId="0" xr:uid="{8A0B4B8A-A100-4120-A8EA-3FFBA39E128C}">
      <text>
        <r>
          <rPr>
            <b/>
            <sz val="9"/>
            <color indexed="81"/>
            <rFont val="Tahoma"/>
            <family val="2"/>
          </rPr>
          <t xml:space="preserve">Erase counter for Prince region 3.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22" authorId="0" shapeId="0" xr:uid="{D5EF41CC-C908-4F67-8ABC-DFCF1CDF8DE2}">
      <text>
        <r>
          <rPr>
            <b/>
            <sz val="9"/>
            <color indexed="81"/>
            <rFont val="Tahoma"/>
            <family val="2"/>
          </rPr>
          <t>Monotonic erase counter for IPED region 0.</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3" authorId="0" shapeId="0" xr:uid="{499F9300-CB44-4970-9511-E90F3DFFAAAB}">
      <text>
        <r>
          <rPr>
            <b/>
            <sz val="9"/>
            <color indexed="81"/>
            <rFont val="Tahoma"/>
            <family val="2"/>
          </rPr>
          <t>Monotonic erase counter for IPED region 1.</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4" authorId="0" shapeId="0" xr:uid="{17D05ED8-0272-4E48-84C7-04FB84C16BE1}">
      <text>
        <r>
          <rPr>
            <b/>
            <sz val="9"/>
            <color indexed="81"/>
            <rFont val="Tahoma"/>
            <family val="2"/>
          </rPr>
          <t>Monotonic erase counter for IPED region 2.</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5" authorId="0" shapeId="0" xr:uid="{43C54AAF-B2AE-4297-B43F-1EC7001EFCAC}">
      <text>
        <r>
          <rPr>
            <b/>
            <sz val="9"/>
            <color indexed="81"/>
            <rFont val="Tahoma"/>
            <family val="2"/>
          </rPr>
          <t>Monotonic erase counter for IPED region 3.</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6" authorId="0" shapeId="0" xr:uid="{5FE17690-6CCE-4460-8BB6-5A01C0E2487B}">
      <text>
        <r>
          <rPr>
            <b/>
            <sz val="9"/>
            <color indexed="81"/>
            <rFont val="Tahoma"/>
            <family val="2"/>
          </rPr>
          <t>Monotonic erase counter for IPED region 4.</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7" authorId="0" shapeId="0" xr:uid="{B532076B-540B-44E7-82DE-65C6749E8639}">
      <text>
        <r>
          <rPr>
            <b/>
            <sz val="9"/>
            <color indexed="81"/>
            <rFont val="Tahoma"/>
            <family val="2"/>
          </rPr>
          <t>Monotonic erase counter for IPED region 5.</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8" authorId="0" shapeId="0" xr:uid="{4BA937A5-D559-428D-B7E8-145E98DF7967}">
      <text>
        <r>
          <rPr>
            <b/>
            <sz val="9"/>
            <color indexed="81"/>
            <rFont val="Tahoma"/>
            <family val="2"/>
          </rPr>
          <t>Monotonic erase counter for IPED region 6.</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9" authorId="0" shapeId="0" xr:uid="{DD410F79-6306-4C57-ADBD-D25663A514E1}">
      <text>
        <r>
          <rPr>
            <b/>
            <sz val="9"/>
            <color indexed="81"/>
            <rFont val="Tahoma"/>
            <family val="2"/>
          </rPr>
          <t>Monotonic erase counter for IPED region 7.</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30" authorId="0" shapeId="0" xr:uid="{F49D32D3-BB61-41CB-8ECD-D3EC490F73EA}">
      <text>
        <r>
          <rPr>
            <sz val="12"/>
            <color theme="1"/>
            <rFont val="Calibri"/>
            <family val="2"/>
            <scheme val="minor"/>
          </rPr>
          <t xml:space="preserve">Authentication failure counter.
This monotonic counter field is incremented by boot ROM on authentication failure during boot, SB3, or debug authentication (Monotonic counter). </t>
        </r>
      </text>
    </comment>
    <comment ref="E31" authorId="0" shapeId="0" xr:uid="{D4D38158-DEBF-4E8C-B353-8284F414876A}">
      <text>
        <r>
          <rPr>
            <b/>
            <sz val="9"/>
            <color indexed="81"/>
            <rFont val="Tahoma"/>
            <family val="2"/>
          </rPr>
          <t xml:space="preserve">Tamper event counter.
</t>
        </r>
        <r>
          <rPr>
            <sz val="9"/>
            <color indexed="81"/>
            <rFont val="Tahoma"/>
            <family val="2"/>
          </rPr>
          <t xml:space="preserve">This monotonic counter field is incremented by boot ROM whenever the reset cause during boot is detected as 
- ITRC reset caused by security sensors or 
- WDT 0/1 reset or 
- Tamper pin reset.
</t>
        </r>
      </text>
    </comment>
    <comment ref="E38" authorId="0" shapeId="0" xr:uid="{3CB5DC11-9C80-4737-8200-E5A1BA9CF748}">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39" authorId="0" shapeId="0" xr:uid="{6CBEC1BD-6663-42AB-AE22-4BAD60E94413}">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0" authorId="0" shapeId="0" xr:uid="{BA89748F-4E4A-465A-B154-539D63312B9D}">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1" authorId="0" shapeId="0" xr:uid="{0FEFE342-8FFF-4697-BF92-2810A1A854E0}">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2" authorId="0" shapeId="0" xr:uid="{4AFDCF2A-B424-4CA7-AD35-EF72752A4F6D}">
      <text>
        <r>
          <rPr>
            <sz val="9"/>
            <color indexed="81"/>
            <rFont val="Tahoma"/>
            <family val="2"/>
          </rPr>
          <t>Monotonic counter for application use.
ROM enforces monotonic increment check during CFPA-CMAC page update.
If the new counter value is less than the value in active CFPA page, then the update is rejected and CMAC sigining is skipped.</t>
        </r>
      </text>
    </comment>
    <comment ref="E43" authorId="0" shapeId="0" xr:uid="{400456ED-778C-4AEE-AEE7-104C50C501E4}">
      <text>
        <r>
          <rPr>
            <sz val="9"/>
            <color indexed="81"/>
            <rFont val="Tahoma"/>
            <family val="2"/>
          </rPr>
          <t>Monotonic counter for application use.
ROM enforces monotonic increment check during CFPA-CMAC page update.
If the new counter value is less than the value in active CFPA page, then the update is rejected and CMAC sigining is skipped.</t>
        </r>
      </text>
    </comment>
    <comment ref="E44" authorId="0" shapeId="0" xr:uid="{0A8108FE-1665-40FC-9B7D-69DE61B10FEC}">
      <text>
        <r>
          <rPr>
            <sz val="12"/>
            <color theme="1"/>
            <rFont val="Calibri"/>
            <family val="2"/>
            <scheme val="minor"/>
          </rPr>
          <t>Monotonic counter for application use.
ROM enforces monotonic increment check during CFPA-CMAC page update.
If the new counter value is less than the value in active CFPA page, then the update is rejected and CMAC signing is skipped.</t>
        </r>
      </text>
    </comment>
    <comment ref="E45" authorId="0" shapeId="0" xr:uid="{25B6E5FF-9881-4318-A3A3-A3FCFAFF64F4}">
      <text>
        <r>
          <rPr>
            <sz val="12"/>
            <color theme="1"/>
            <rFont val="Calibri"/>
            <family val="2"/>
            <scheme val="minor"/>
          </rPr>
          <t>Monotonic counter for application use.
ROM enforces monotonic increment check during CFPA-CMAC page update.
If the new counter value is less than the value in active CFPA page, then the update is rejected and CMAC signing is skipped.</t>
        </r>
      </text>
    </comment>
    <comment ref="E46" authorId="0" shapeId="0" xr:uid="{A34DCD0A-1516-40A9-8AE2-AB000FE1DC02}">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7" authorId="0" shapeId="0" xr:uid="{1A54EEED-6DD2-4F8F-B0E8-D34EB7C0E883}">
      <text>
        <r>
          <rPr>
            <sz val="9"/>
            <color indexed="81"/>
            <rFont val="Tahoma"/>
            <family val="2"/>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sigining is skipped.</t>
        </r>
      </text>
    </comment>
    <comment ref="E48" authorId="0" shapeId="0" xr:uid="{CE4F1B0F-C9C2-4D2B-9BBD-002B015CDE3E}">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9" authorId="0" shapeId="0" xr:uid="{5D299531-2240-400E-A0CA-BD8702235144}">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0" authorId="0" shapeId="0" xr:uid="{215B1447-A649-4C87-9FE1-EF49D16B5C98}">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1" authorId="0" shapeId="0" xr:uid="{40375FE8-CB83-42EC-9949-3E9C3E6F213A}">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2" authorId="0" shapeId="0" xr:uid="{443C790A-CA0E-4E89-9116-163235ADC273}">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3" authorId="0" shapeId="0" xr:uid="{26622590-9BCF-4B02-B213-D388952DF736}">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F54" authorId="0" shapeId="0" xr:uid="{4B6947CC-0791-45E0-8826-2DD2BD1C2C04}">
      <text>
        <r>
          <rPr>
            <sz val="12"/>
            <color theme="1"/>
            <rFont val="Calibri"/>
            <family val="2"/>
            <scheme val="minor"/>
          </rPr>
          <t xml:space="preserve">Access control for flash sector  (offset range 0x03_8000 - 0x03_FFFF).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54" authorId="0" shapeId="0" xr:uid="{FA168982-264D-4157-A439-DAD64CC015BB}">
      <text>
        <r>
          <rPr>
            <sz val="12"/>
            <color theme="1"/>
            <rFont val="Calibri"/>
            <family val="2"/>
            <scheme val="minor"/>
          </rPr>
          <t xml:space="preserve">Access control for flash sector  (offset range 0x03_0000 - 0x03_7FFF).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54" authorId="0" shapeId="0" xr:uid="{2FC0510E-C434-495C-A128-A170765507B9}">
      <text>
        <r>
          <rPr>
            <sz val="12"/>
            <color theme="1"/>
            <rFont val="Calibri"/>
            <family val="2"/>
            <scheme val="minor"/>
          </rPr>
          <t xml:space="preserve">Access control for flash sector  (offset range 0x02_8000 - 0x02_FFFF).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54" authorId="0" shapeId="0" xr:uid="{A9F50F33-01F6-4C89-9288-ECA6C63C07DA}">
      <text>
        <r>
          <rPr>
            <sz val="12"/>
            <color theme="1"/>
            <rFont val="Calibri"/>
            <family val="2"/>
            <scheme val="minor"/>
          </rPr>
          <t xml:space="preserve">Access control for flash sector  (offset range 0x02_0000 - 0x02_7FFF).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54" authorId="0" shapeId="0" xr:uid="{4B114782-66B9-4272-8DC4-47F79B6AC3CD}">
      <text>
        <r>
          <rPr>
            <sz val="12"/>
            <color theme="1"/>
            <rFont val="Calibri"/>
            <family val="2"/>
            <scheme val="minor"/>
          </rPr>
          <t xml:space="preserve">Access control for flash sector. (offset range 0x01_8000 - 0x01_FFFF).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54" authorId="0" shapeId="0" xr:uid="{579C1CA8-0566-4048-84E8-44D0D7F5D1BD}">
      <text>
        <r>
          <rPr>
            <sz val="12"/>
            <color theme="1"/>
            <rFont val="Calibri"/>
            <family val="2"/>
            <scheme val="minor"/>
          </rPr>
          <t xml:space="preserve">Access control for flash sector  (offset range 0x01_0000 - 0x01_7FFF).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54" authorId="0" shapeId="0" xr:uid="{86F332BB-14A7-4999-83E7-097B29A83F59}">
      <text>
        <r>
          <rPr>
            <sz val="12"/>
            <color theme="1"/>
            <rFont val="Calibri"/>
            <family val="2"/>
            <scheme val="minor"/>
          </rPr>
          <t xml:space="preserve">Access control for flash sector (offset range 0x00_8000 - 0x00_FFFF).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54" authorId="0" shapeId="0" xr:uid="{06BDD582-9D91-49ED-A69A-CA09DDF3479F}">
      <text>
        <r>
          <rPr>
            <sz val="12"/>
            <color theme="1"/>
            <rFont val="Calibri"/>
            <family val="2"/>
            <scheme val="minor"/>
          </rPr>
          <t xml:space="preserve">Access control for flash sector (offset range 0x00_0000 - 0x00_7FFF).
Select one of the 8 pre-defined access control attributes for the given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55" authorId="0" shapeId="0" xr:uid="{2528F64D-BC02-4EB9-AA14-DE6DE1D6C831}">
      <text>
        <r>
          <rPr>
            <sz val="12"/>
            <color theme="1"/>
            <rFont val="Calibri"/>
            <family val="2"/>
            <scheme val="minor"/>
          </rPr>
          <t xml:space="preserve">Access control for flash sector  (offset range 0x07_8000 - 0x07_FFFF).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55" authorId="0" shapeId="0" xr:uid="{A120AB1B-778E-4641-8696-2317E12D6914}">
      <text>
        <r>
          <rPr>
            <sz val="12"/>
            <color theme="1"/>
            <rFont val="Calibri"/>
            <family val="2"/>
            <scheme val="minor"/>
          </rPr>
          <t xml:space="preserve">Access control for flash sector  (offset range 0x07_0000 - 0x07_7FFF).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55" authorId="0" shapeId="0" xr:uid="{ECFD928A-CAF0-47A8-8818-A1C6BFA3A740}">
      <text>
        <r>
          <rPr>
            <sz val="12"/>
            <color theme="1"/>
            <rFont val="Calibri"/>
            <family val="2"/>
            <scheme val="minor"/>
          </rPr>
          <t xml:space="preserve">Access control for flash sector  (offset range 0x06_8000 - 0x06_FFFF).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55" authorId="0" shapeId="0" xr:uid="{EFEBDC50-329C-431F-92C7-99EC0CD25230}">
      <text>
        <r>
          <rPr>
            <sz val="12"/>
            <color theme="1"/>
            <rFont val="Calibri"/>
            <family val="2"/>
            <scheme val="minor"/>
          </rPr>
          <t xml:space="preserve">Access control for flash sector  (offset range 0x06_0000 - 0x06_7FFF).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55" authorId="0" shapeId="0" xr:uid="{1A32479F-F0EC-4C52-8FC4-503B0A92C0D7}">
      <text>
        <r>
          <rPr>
            <sz val="12"/>
            <color theme="1"/>
            <rFont val="Calibri"/>
            <family val="2"/>
            <scheme val="minor"/>
          </rPr>
          <t xml:space="preserve">Access control for flash sector. (offset range 0x05_8000 - 0x05_FFFF).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55" authorId="0" shapeId="0" xr:uid="{4C8B9D9A-D299-49C1-B794-C318F128074A}">
      <text>
        <r>
          <rPr>
            <sz val="12"/>
            <color theme="1"/>
            <rFont val="Calibri"/>
            <family val="2"/>
            <scheme val="minor"/>
          </rPr>
          <t xml:space="preserve">Access control for flash sector  (offset range 0x05_0000 - 0x05_7FFF).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55" authorId="0" shapeId="0" xr:uid="{D68931E4-E818-42E0-91EE-519E290DAFD5}">
      <text>
        <r>
          <rPr>
            <sz val="12"/>
            <color theme="1"/>
            <rFont val="Calibri"/>
            <family val="2"/>
            <scheme val="minor"/>
          </rPr>
          <t xml:space="preserve">Access control for flash sector (offset range 0x04_8000 - 0x04_FFFF).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55" authorId="0" shapeId="0" xr:uid="{DCAA9D50-C1D6-4673-80A8-D09480B0EFA5}">
      <text>
        <r>
          <rPr>
            <sz val="12"/>
            <color theme="1"/>
            <rFont val="Calibri"/>
            <family val="2"/>
            <scheme val="minor"/>
          </rPr>
          <t xml:space="preserve">Access control for flash sector (offset range 0x04_0000 - 0x04_7FFF).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56" authorId="0" shapeId="0" xr:uid="{9C0CC13F-FB83-48FB-ADF8-31234E5C7C3B}">
      <text>
        <r>
          <rPr>
            <sz val="12"/>
            <color theme="1"/>
            <rFont val="Calibri"/>
            <family val="2"/>
            <scheme val="minor"/>
          </rPr>
          <t xml:space="preserve">Access control for flash sector  (offset range 0x0B_8000 - 0x0B_FFFF).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56" authorId="0" shapeId="0" xr:uid="{40F68A02-33AF-4C4D-8BFB-62F54081B05B}">
      <text>
        <r>
          <rPr>
            <sz val="12"/>
            <color theme="1"/>
            <rFont val="Calibri"/>
            <family val="2"/>
            <scheme val="minor"/>
          </rPr>
          <t xml:space="preserve">Access control for flash sector  (offset range 0x0B_0000 - 0x0B_7FFF).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56" authorId="0" shapeId="0" xr:uid="{157641C1-CE06-48DF-AE97-44D0CB4A805D}">
      <text>
        <r>
          <rPr>
            <sz val="12"/>
            <color theme="1"/>
            <rFont val="Calibri"/>
            <family val="2"/>
            <scheme val="minor"/>
          </rPr>
          <t xml:space="preserve">Access control for flash sector  (offset range 0x0A_8000 - 0x0A_FFFF).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56" authorId="0" shapeId="0" xr:uid="{7D228A80-A275-40B8-B5A3-50F364338525}">
      <text>
        <r>
          <rPr>
            <sz val="12"/>
            <color theme="1"/>
            <rFont val="Calibri"/>
            <family val="2"/>
            <scheme val="minor"/>
          </rPr>
          <t xml:space="preserve">Access control for flash sector  (offset range 0x0A_0000 - 0x0A_7FFF).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56" authorId="0" shapeId="0" xr:uid="{69404863-1F4D-46C0-9243-6F106405904D}">
      <text>
        <r>
          <rPr>
            <sz val="12"/>
            <color theme="1"/>
            <rFont val="Calibri"/>
            <family val="2"/>
            <scheme val="minor"/>
          </rPr>
          <t xml:space="preserve">Access control for flash sector. (offset range 0x09_8000 - 0x09_FFFF).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56" authorId="0" shapeId="0" xr:uid="{F18ACFD2-E145-4003-BE08-FBAE560BB21B}">
      <text>
        <r>
          <rPr>
            <sz val="12"/>
            <color theme="1"/>
            <rFont val="Calibri"/>
            <family val="2"/>
            <scheme val="minor"/>
          </rPr>
          <t xml:space="preserve">Access control for flash sector  (offset range 0x09_0000 - 0x09_7FFF).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56" authorId="0" shapeId="0" xr:uid="{5F91E982-93F5-4707-B523-CB0DF5674FBD}">
      <text>
        <r>
          <rPr>
            <sz val="12"/>
            <color theme="1"/>
            <rFont val="Calibri"/>
            <family val="2"/>
            <scheme val="minor"/>
          </rPr>
          <t xml:space="preserve">Access control for flash sector (offset range 0x08_8000 - 0x08_FFFF).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56" authorId="0" shapeId="0" xr:uid="{0F2CFBE2-56B5-4729-B632-B8B19CD3D450}">
      <text>
        <r>
          <rPr>
            <sz val="12"/>
            <color theme="1"/>
            <rFont val="Calibri"/>
            <family val="2"/>
            <scheme val="minor"/>
          </rPr>
          <t xml:space="preserve">Access control for flash sector (offset range 0x08_0000 - 0x08_7FFF).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57" authorId="0" shapeId="0" xr:uid="{13B281BA-E942-4149-B57D-7ECE40F43668}">
      <text>
        <r>
          <rPr>
            <sz val="12"/>
            <color theme="1"/>
            <rFont val="Calibri"/>
            <family val="2"/>
            <scheme val="minor"/>
          </rPr>
          <t xml:space="preserve">Access control for flash sector  (offset range 0x0F_8000 - 0x0F_FFFF).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57" authorId="0" shapeId="0" xr:uid="{7D1B2E22-F29A-4D0B-A0BF-483C816D4129}">
      <text>
        <r>
          <rPr>
            <sz val="12"/>
            <color theme="1"/>
            <rFont val="Calibri"/>
            <family val="2"/>
            <scheme val="minor"/>
          </rPr>
          <t xml:space="preserve">Access control for flash sector  (offset range 0x0F_0000 - 0x0F_7FFF).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57" authorId="0" shapeId="0" xr:uid="{C80B3053-9591-4519-96BF-F30472D62522}">
      <text>
        <r>
          <rPr>
            <sz val="12"/>
            <color theme="1"/>
            <rFont val="Calibri"/>
            <family val="2"/>
            <scheme val="minor"/>
          </rPr>
          <t xml:space="preserve">Access control for flash sector  (offset range 0x0E_8000 - 0x0E_FFFF).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57" authorId="0" shapeId="0" xr:uid="{634C021A-7765-4A56-B92F-E39EF3A3B4DD}">
      <text>
        <r>
          <rPr>
            <sz val="12"/>
            <color theme="1"/>
            <rFont val="Calibri"/>
            <family val="2"/>
            <scheme val="minor"/>
          </rPr>
          <t xml:space="preserve">Access control for flash sector  (offset range 0x0E_0000 - 0x0E_7FFF).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57" authorId="0" shapeId="0" xr:uid="{276E30CF-222F-4691-A230-A3C17C185B42}">
      <text>
        <r>
          <rPr>
            <sz val="12"/>
            <color theme="1"/>
            <rFont val="Calibri"/>
            <family val="2"/>
            <scheme val="minor"/>
          </rPr>
          <t xml:space="preserve">Access control for flash sector. (offset range 0x0D_8000 - 0x0D_FFFF).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57" authorId="0" shapeId="0" xr:uid="{26ECB8FB-352C-4DCA-ABD2-CAA79AF4B84C}">
      <text>
        <r>
          <rPr>
            <sz val="12"/>
            <color theme="1"/>
            <rFont val="Calibri"/>
            <family val="2"/>
            <scheme val="minor"/>
          </rPr>
          <t xml:space="preserve">Access control for flash sector  (offset range 0x0D_0000 - 0x0D_7FFF).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57" authorId="0" shapeId="0" xr:uid="{B6F96FC0-0640-4724-8DB7-D902D95DF62B}">
      <text>
        <r>
          <rPr>
            <sz val="12"/>
            <color theme="1"/>
            <rFont val="Calibri"/>
            <family val="2"/>
            <scheme val="minor"/>
          </rPr>
          <t xml:space="preserve">Access control for flash sector (offset range 0x0C_8000 - 0x0C_FFFF).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57" authorId="0" shapeId="0" xr:uid="{6C45368C-194F-4D29-9377-16392EAFF9F3}">
      <text>
        <r>
          <rPr>
            <sz val="12"/>
            <color theme="1"/>
            <rFont val="Calibri"/>
            <family val="2"/>
            <scheme val="minor"/>
          </rPr>
          <t xml:space="preserve">Access control for flash sector (offset range 0x0C_0000 - 0x0C_7FFF).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58" authorId="0" shapeId="0" xr:uid="{31A94246-A6DE-4D7D-9787-748BF5B8373A}">
      <text>
        <r>
          <rPr>
            <sz val="12"/>
            <color theme="1"/>
            <rFont val="Calibri"/>
            <family val="2"/>
            <scheme val="minor"/>
          </rPr>
          <t xml:space="preserve">Access control for flash sector  (offset range 0x13_8000 - 0x13_FFFF).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58" authorId="0" shapeId="0" xr:uid="{944E5EAE-67E9-4DD2-A312-4F3DFC68E47A}">
      <text>
        <r>
          <rPr>
            <sz val="12"/>
            <color theme="1"/>
            <rFont val="Calibri"/>
            <family val="2"/>
            <scheme val="minor"/>
          </rPr>
          <t xml:space="preserve">Access control for flash sector  (offset range 0x13_0000 - 0x13_7FFF).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58" authorId="0" shapeId="0" xr:uid="{DF72A952-503A-43E8-9426-C10AE292AEA4}">
      <text>
        <r>
          <rPr>
            <sz val="12"/>
            <color theme="1"/>
            <rFont val="Calibri"/>
            <family val="2"/>
            <scheme val="minor"/>
          </rPr>
          <t xml:space="preserve">Access control for flash sector  (offset range 0x12_8000 - 0x12_FFFF).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58" authorId="0" shapeId="0" xr:uid="{52BAA54E-85B2-4436-8BDB-7D1EABD58C30}">
      <text>
        <r>
          <rPr>
            <sz val="12"/>
            <color theme="1"/>
            <rFont val="Calibri"/>
            <family val="2"/>
            <scheme val="minor"/>
          </rPr>
          <t xml:space="preserve">Access control for flash sector  (offset range 0x12_0000 - 0x12_7FFF).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58" authorId="0" shapeId="0" xr:uid="{0385994F-0B18-495D-8A08-31C4E33B84F2}">
      <text>
        <r>
          <rPr>
            <sz val="12"/>
            <color theme="1"/>
            <rFont val="Calibri"/>
            <family val="2"/>
            <scheme val="minor"/>
          </rPr>
          <t xml:space="preserve">Access control for flash sector. (offset range 0x11_8000 - 0x11_FFFF).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58" authorId="0" shapeId="0" xr:uid="{92460AE6-304C-4EC9-9D3F-7DE77EFF6991}">
      <text>
        <r>
          <rPr>
            <sz val="12"/>
            <color theme="1"/>
            <rFont val="Calibri"/>
            <family val="2"/>
            <scheme val="minor"/>
          </rPr>
          <t xml:space="preserve">Access control for flash sector  (offset range 0x11_0000 - 0x11_7FFF).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58" authorId="0" shapeId="0" xr:uid="{2761F488-C7A7-4F98-A206-8D6A3CCF5E66}">
      <text>
        <r>
          <rPr>
            <sz val="12"/>
            <color theme="1"/>
            <rFont val="Calibri"/>
            <family val="2"/>
            <scheme val="minor"/>
          </rPr>
          <t xml:space="preserve">Access control for flash sector (offset range 0x10_8000 - 0x10_FFFF).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58" authorId="0" shapeId="0" xr:uid="{95BF0389-DF64-4FA3-9619-B0DA61F49B21}">
      <text>
        <r>
          <rPr>
            <sz val="12"/>
            <color theme="1"/>
            <rFont val="Calibri"/>
            <family val="2"/>
            <scheme val="minor"/>
          </rPr>
          <t xml:space="preserve">Access control for flash sector (offset range 0x10_0000 - 0x10_7FFF).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59" authorId="0" shapeId="0" xr:uid="{0CF66B00-EE17-4B56-AC28-F2EDC6B8223B}">
      <text>
        <r>
          <rPr>
            <sz val="12"/>
            <color theme="1"/>
            <rFont val="Calibri"/>
            <family val="2"/>
            <scheme val="minor"/>
          </rPr>
          <t xml:space="preserve">Access control for flash sector  (offset range 0x17_8000 - 0x17_FFFF).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59" authorId="0" shapeId="0" xr:uid="{3B2E4A17-40EE-45DA-8B9C-3A7D3D455556}">
      <text>
        <r>
          <rPr>
            <sz val="12"/>
            <color theme="1"/>
            <rFont val="Calibri"/>
            <family val="2"/>
            <scheme val="minor"/>
          </rPr>
          <t xml:space="preserve">Access control for flash sector  (offset range 0x17_0000 - 0x17_7FFF).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59" authorId="0" shapeId="0" xr:uid="{9C3E72F1-5D76-4524-ACF1-DEFBAF59EB04}">
      <text>
        <r>
          <rPr>
            <sz val="12"/>
            <color theme="1"/>
            <rFont val="Calibri"/>
            <family val="2"/>
            <scheme val="minor"/>
          </rPr>
          <t xml:space="preserve">Access control for flash sector  (offset range 0x16_8000 - 0x16_FFFF).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59" authorId="0" shapeId="0" xr:uid="{92E2C5B0-39E8-49A1-A098-82E9F33D0BCC}">
      <text>
        <r>
          <rPr>
            <sz val="12"/>
            <color theme="1"/>
            <rFont val="Calibri"/>
            <family val="2"/>
            <scheme val="minor"/>
          </rPr>
          <t xml:space="preserve">Access control for flash sector  (offset range 0x16_0000 - 0x16_7FFF).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59" authorId="0" shapeId="0" xr:uid="{C199031A-2BCB-4A4A-ACAB-2A0988F4E529}">
      <text>
        <r>
          <rPr>
            <sz val="12"/>
            <color theme="1"/>
            <rFont val="Calibri"/>
            <family val="2"/>
            <scheme val="minor"/>
          </rPr>
          <t xml:space="preserve">Access control for flash sector. (offset range 0x15_8000 - 0x15_FFFF).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59" authorId="0" shapeId="0" xr:uid="{632DC740-EAFF-4848-914A-58DC686491C8}">
      <text>
        <r>
          <rPr>
            <sz val="12"/>
            <color theme="1"/>
            <rFont val="Calibri"/>
            <family val="2"/>
            <scheme val="minor"/>
          </rPr>
          <t xml:space="preserve">Access control for flash sector  (offset range 0x15_0000 - 0x15_7FFF).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59" authorId="0" shapeId="0" xr:uid="{7F9E6C57-9960-4AD5-B5CF-F785FD44C557}">
      <text>
        <r>
          <rPr>
            <sz val="12"/>
            <color theme="1"/>
            <rFont val="Calibri"/>
            <family val="2"/>
            <scheme val="minor"/>
          </rPr>
          <t xml:space="preserve">Access control for flash sector (offset range 0x14_8000 - 0x14_FFFF).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59" authorId="0" shapeId="0" xr:uid="{01915E69-F00C-4231-9907-55C8E8DEB1A4}">
      <text>
        <r>
          <rPr>
            <sz val="12"/>
            <color theme="1"/>
            <rFont val="Calibri"/>
            <family val="2"/>
            <scheme val="minor"/>
          </rPr>
          <t xml:space="preserve">Access control for flash sector (offset range 0x14_0000 - 0x14_7FFF).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60" authorId="0" shapeId="0" xr:uid="{B6CC294A-658E-4DB7-8558-C366F4616528}">
      <text>
        <r>
          <rPr>
            <sz val="12"/>
            <color theme="1"/>
            <rFont val="Calibri"/>
            <family val="2"/>
            <scheme val="minor"/>
          </rPr>
          <t xml:space="preserve">Access control for flash sector  (offset range 0x1B_8000 - 0x1B_FFFF).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60" authorId="0" shapeId="0" xr:uid="{2467FF32-BCB3-44B5-BB5B-800555A0999E}">
      <text>
        <r>
          <rPr>
            <sz val="12"/>
            <color theme="1"/>
            <rFont val="Calibri"/>
            <family val="2"/>
            <scheme val="minor"/>
          </rPr>
          <t xml:space="preserve">Access control for flash sector  (offset range 0x1B_0000 - 0x1B_7FFF).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60" authorId="0" shapeId="0" xr:uid="{53D63BF8-B4B2-419A-BE47-62B2BACB70AF}">
      <text>
        <r>
          <rPr>
            <sz val="12"/>
            <color theme="1"/>
            <rFont val="Calibri"/>
            <family val="2"/>
            <scheme val="minor"/>
          </rPr>
          <t xml:space="preserve">Access control for flash sector  (offset range 0x1A_8000 - 0x1A_FFFF).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60" authorId="0" shapeId="0" xr:uid="{D280CE64-63A8-4D05-8FE2-5CC2DFBEBFD8}">
      <text>
        <r>
          <rPr>
            <sz val="12"/>
            <color theme="1"/>
            <rFont val="Calibri"/>
            <family val="2"/>
            <scheme val="minor"/>
          </rPr>
          <t xml:space="preserve">Access control for flash sector  (offset range 0x1A_0000 - 0x1A_7FFF).
Select one of the 8 pre-defined access control attributes for the given sector.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60" authorId="0" shapeId="0" xr:uid="{952AE9DD-0ABF-41D4-BF5E-01264629E547}">
      <text>
        <r>
          <rPr>
            <sz val="12"/>
            <color theme="1"/>
            <rFont val="Calibri"/>
            <family val="2"/>
            <scheme val="minor"/>
          </rPr>
          <t xml:space="preserve">Access control for flash sector. (offset range 0x19_8000 - 0x19_FFFF).
Select one of the 8 pre-defined access control attributes for the given sector.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60" authorId="0" shapeId="0" xr:uid="{0C2EFBDC-0EB7-4081-B524-8C69C7D46765}">
      <text>
        <r>
          <rPr>
            <sz val="12"/>
            <color theme="1"/>
            <rFont val="Calibri"/>
            <family val="2"/>
            <scheme val="minor"/>
          </rPr>
          <t xml:space="preserve">Access control for flash sector  (offset range 0x19_0000 - 0x19_7FFF).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60" authorId="0" shapeId="0" xr:uid="{BB550430-09C0-43DE-989A-82FB347F47DC}">
      <text>
        <r>
          <rPr>
            <sz val="12"/>
            <color theme="1"/>
            <rFont val="Calibri"/>
            <family val="2"/>
            <scheme val="minor"/>
          </rPr>
          <t xml:space="preserve">Access control for flash sector (offset range 0x18_8000 - 0x18_FFFF).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60" authorId="0" shapeId="0" xr:uid="{9B274851-6ADB-4506-9F0E-F40137BB26CD}">
      <text>
        <r>
          <rPr>
            <sz val="12"/>
            <color theme="1"/>
            <rFont val="Calibri"/>
            <family val="2"/>
            <scheme val="minor"/>
          </rPr>
          <t xml:space="preserve">Access control for flash sector (offset range 0x18_0000 - 0x18_7FFF).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61" authorId="0" shapeId="0" xr:uid="{06AAA3AB-83D3-4D70-934E-0B4F275E97CF}">
      <text>
        <r>
          <rPr>
            <sz val="12"/>
            <color theme="1"/>
            <rFont val="Calibri"/>
            <family val="2"/>
            <scheme val="minor"/>
          </rPr>
          <t xml:space="preserve">Access control for flash sector  (offset range 0x1F_8000 - 0x1F_FFFF).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61" authorId="0" shapeId="0" xr:uid="{4FF4962A-E3E3-41EA-9543-82BF69AD52DB}">
      <text>
        <r>
          <rPr>
            <sz val="12"/>
            <color theme="1"/>
            <rFont val="Calibri"/>
            <family val="2"/>
            <scheme val="minor"/>
          </rPr>
          <t xml:space="preserve">Access control for flash sector  (offset range 0x1F_0000 - 0x1F_7FFF).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61" authorId="0" shapeId="0" xr:uid="{E57203C7-DDA1-4EE7-B97B-976B49547667}">
      <text>
        <r>
          <rPr>
            <sz val="12"/>
            <color theme="1"/>
            <rFont val="Calibri"/>
            <family val="2"/>
            <scheme val="minor"/>
          </rPr>
          <t xml:space="preserve">Access control for flash sector  (offset range 0x1E_8000 - 0x1E_FFFF).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61" authorId="0" shapeId="0" xr:uid="{97C3E068-E77E-4751-A4D5-A29228202F0F}">
      <text>
        <r>
          <rPr>
            <sz val="12"/>
            <color theme="1"/>
            <rFont val="Calibri"/>
            <family val="2"/>
            <scheme val="minor"/>
          </rPr>
          <t>Access control for flash sector  (offset range 0x1E_0000 - 0x1E_7FFF).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locked)1</t>
        </r>
      </text>
    </comment>
    <comment ref="V61" authorId="0" shapeId="0" xr:uid="{5B2B0135-B892-4888-968C-11150BC672BD}">
      <text>
        <r>
          <rPr>
            <sz val="12"/>
            <color theme="1"/>
            <rFont val="Calibri"/>
            <family val="2"/>
            <scheme val="minor"/>
          </rPr>
          <t xml:space="preserve">Access control for flash sector. (offset range 0x1D_8000 - 0x1D_FFFF).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61" authorId="0" shapeId="0" xr:uid="{CCEB8345-6B5A-4125-AA03-A0C3CA047AE1}">
      <text>
        <r>
          <rPr>
            <sz val="12"/>
            <color theme="1"/>
            <rFont val="Calibri"/>
            <family val="2"/>
            <scheme val="minor"/>
          </rPr>
          <t xml:space="preserve">Access control for flash sector  (offset range 0x1D_0000 - 0x1D_7FFF).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61" authorId="0" shapeId="0" xr:uid="{F3B4630C-9A23-46BA-8F9F-86AA0BBB614B}">
      <text>
        <r>
          <rPr>
            <sz val="12"/>
            <color theme="1"/>
            <rFont val="Calibri"/>
            <family val="2"/>
            <scheme val="minor"/>
          </rPr>
          <t xml:space="preserve">Access control for flash sector (offset range 0x1C_8000 - 0x1C_FFFF).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61" authorId="0" shapeId="0" xr:uid="{0DD169D8-BC39-445E-8C77-7053D803C126}">
      <text>
        <r>
          <rPr>
            <sz val="12"/>
            <color theme="1"/>
            <rFont val="Calibri"/>
            <family val="2"/>
            <scheme val="minor"/>
          </rPr>
          <t xml:space="preserve">Access control for flash sector (offset range 0x1C_0000 - 0x1C_7FFF).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E62" authorId="0" shapeId="0" xr:uid="{02161C7D-69DF-47BB-B6E2-4400D811883E}">
      <text>
        <r>
          <rPr>
            <sz val="12"/>
            <color theme="1"/>
            <rFont val="Calibri"/>
            <family val="2"/>
            <scheme val="minor"/>
          </rPr>
          <t>Die unique CMAC of image 0.
This field is managed by ROM and user application should not modify it.
ROM calculates and stores die specific CMAC for image 0 range when IMG_UPD field is set to 2b'01.
ROM calculates image CMAC only if the image passes ECDSA authentication check.
On sub-sequent boots image authentication done using CMAC, based on SECURE_BOOT_CFG setting.</t>
        </r>
      </text>
    </comment>
    <comment ref="E66" authorId="0" shapeId="0" xr:uid="{4CD6A976-EFE8-46AC-B2AC-ED8570E73A80}">
      <text>
        <r>
          <rPr>
            <sz val="12"/>
            <color theme="1"/>
            <rFont val="Calibri"/>
            <family val="2"/>
            <scheme val="minor"/>
          </rPr>
          <t>Die unique CMAC of image 1.
This field is managed by ROM and user application should not modify it.
ROM calculates and stores die specific CMAC for image 1 range when IMG_UPD field is set to 2b'10.
ROM calculates image CMAC only if the image passes ECDSA authentication check.
On sub-sequent boots image authentication done using CMAC, based on SECURE_BOOT_CFG setting.</t>
        </r>
      </text>
    </comment>
    <comment ref="AC70" authorId="0" shapeId="0" xr:uid="{C47EA3A8-10C9-4D1F-B873-49690A93CD2A}">
      <text>
        <r>
          <rPr>
            <sz val="9"/>
            <color indexed="81"/>
            <rFont val="Tahoma"/>
            <family val="2"/>
          </rPr>
          <t>X coordinate of ECDSA P-256 public key.</t>
        </r>
      </text>
    </comment>
    <comment ref="AC78" authorId="0" shapeId="0" xr:uid="{DA8232F9-D835-46B4-A701-33DBEE45D92F}">
      <text>
        <r>
          <rPr>
            <sz val="9"/>
            <color indexed="81"/>
            <rFont val="Tahoma"/>
            <family val="2"/>
          </rPr>
          <t xml:space="preserve">Y coordinate of ECDSA P-256 public key.
</t>
        </r>
      </text>
    </comment>
    <comment ref="AC86" authorId="0" shapeId="0" xr:uid="{74EF85F0-884A-4B3E-9971-CB62FA2F51B2}">
      <text>
        <r>
          <rPr>
            <b/>
            <sz val="9"/>
            <color indexed="81"/>
            <rFont val="Tahoma"/>
            <family val="2"/>
          </rPr>
          <t>R component of ECDSA P-256 signature.</t>
        </r>
      </text>
    </comment>
    <comment ref="AC94" authorId="0" shapeId="0" xr:uid="{785CDB7A-B886-4F9D-80EE-15DCD58A50FF}">
      <text>
        <r>
          <rPr>
            <b/>
            <sz val="9"/>
            <color indexed="81"/>
            <rFont val="Tahoma"/>
            <family val="2"/>
          </rPr>
          <t>S component of ECDSA P-256 signature.</t>
        </r>
      </text>
    </comment>
    <comment ref="E106" authorId="0" shapeId="0" xr:uid="{D8CBA4CB-9782-4444-81BE-96A8C9BD43B7}">
      <text>
        <r>
          <rPr>
            <sz val="12"/>
            <color theme="1"/>
            <rFont val="Calibri"/>
            <family val="2"/>
            <scheme val="minor"/>
          </rPr>
          <t>IPED_AAD_CTX0: AAD data for IPED_GCM context 0.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07" authorId="1" shapeId="0" xr:uid="{F5B2FB9A-BF73-49E8-91BF-E78BE28F2884}">
      <text>
        <r>
          <rPr>
            <sz val="12"/>
            <color theme="1"/>
            <rFont val="Calibri"/>
            <family val="2"/>
            <scheme val="minor"/>
          </rPr>
          <t xml:space="preserve">IPED_AAD_CTX1: AAD data for IPED_GCM context 1.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
</t>
        </r>
      </text>
    </comment>
    <comment ref="E108" authorId="1" shapeId="0" xr:uid="{A76173E4-367D-4364-9CB6-E8825754725E}">
      <text>
        <r>
          <rPr>
            <sz val="12"/>
            <color theme="1"/>
            <rFont val="Calibri"/>
            <family val="2"/>
            <scheme val="minor"/>
          </rPr>
          <t>IPED_AAD_CTX2: AAD data for IPED_GCM context 2.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09" authorId="1" shapeId="0" xr:uid="{0F2F094C-CA62-46D3-A5B2-E0F5523F7424}">
      <text>
        <r>
          <rPr>
            <sz val="12"/>
            <color theme="1"/>
            <rFont val="Calibri"/>
            <family val="2"/>
            <scheme val="minor"/>
          </rPr>
          <t>IPED_AAD_CTX3: AAD data for IPED_GCM context 3.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0" authorId="1" shapeId="0" xr:uid="{C14CD750-36FF-4413-B097-5BBD2C40A231}">
      <text>
        <r>
          <rPr>
            <sz val="12"/>
            <color theme="1"/>
            <rFont val="Calibri"/>
            <family val="2"/>
            <scheme val="minor"/>
          </rPr>
          <t>IPED_AAD_CTX4: AAD data for IPED_GCM context 4.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1" authorId="1" shapeId="0" xr:uid="{55FE49E0-A387-4994-8988-7C74430EA831}">
      <text>
        <r>
          <rPr>
            <sz val="12"/>
            <color theme="1"/>
            <rFont val="Calibri"/>
            <family val="2"/>
            <scheme val="minor"/>
          </rPr>
          <t>IPED_AAD_CTX5: AAD data for IPED_GCM context 5.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2" authorId="1" shapeId="0" xr:uid="{715FF1CF-1F57-43DA-AABB-E45CDE070148}">
      <text>
        <r>
          <rPr>
            <sz val="12"/>
            <color theme="1"/>
            <rFont val="Calibri"/>
            <family val="2"/>
            <scheme val="minor"/>
          </rPr>
          <t>IPED_AAD_CTX6: AAD data for IPED_GCM context 6.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3" authorId="1" shapeId="0" xr:uid="{0A888FFE-B092-4C08-B57F-F715F32BCF8F}">
      <text>
        <r>
          <rPr>
            <sz val="12"/>
            <color theme="1"/>
            <rFont val="Calibri"/>
            <family val="2"/>
            <scheme val="minor"/>
          </rPr>
          <t>IPED_AAD_CTX7: AAD data for IPED_GCM context 7.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29" authorId="0" shapeId="0" xr:uid="{9C2B21B0-180E-4739-9A7D-AC1B3CA55C20}">
      <text>
        <r>
          <rPr>
            <sz val="9"/>
            <color indexed="81"/>
            <rFont val="Tahoma"/>
            <family val="2"/>
          </rPr>
          <t>CRC32 of CFPA page data from offset 0x00 to 0x1EB.
 ROM updates this field along with CFPA_CMAC on subsequent boot after page update. 
ROM uses this field based on CMPA.LP_SEC_BOOT field option.</t>
        </r>
      </text>
    </comment>
    <comment ref="E130" authorId="0" shapeId="0" xr:uid="{2EF01E71-2CCF-4B78-A33B-3698947D6E4F}">
      <text>
        <r>
          <rPr>
            <sz val="9"/>
            <color indexed="81"/>
            <rFont val="Tahoma"/>
            <family val="2"/>
          </rPr>
          <t xml:space="preserve">CMAC of CFPA page data from offset 0x00 to 0x1EB. 
 ROM updates this field  on subsequent boot after page update. </t>
        </r>
      </text>
    </comment>
    <comment ref="D134" authorId="2" shapeId="0" xr:uid="{DD663017-9766-48B0-8921-4F00577E918A}">
      <text>
        <r>
          <rPr>
            <sz val="12"/>
            <color theme="1"/>
            <rFont val="Calibri"/>
            <family val="2"/>
            <scheme val="minor"/>
          </rPr>
          <t>Cannot program by ISP commands, refer to SRM Doc to update this region by ROM API.</t>
        </r>
      </text>
    </comment>
    <comment ref="W139" authorId="0" shapeId="0" xr:uid="{146D2D6C-AEA0-4447-81FA-742EA863F59C}">
      <text>
        <r>
          <rPr>
            <sz val="12"/>
            <color theme="1"/>
            <rFont val="Calibri"/>
            <family val="2"/>
            <scheme val="minor"/>
          </rPr>
          <t xml:space="preserve">Boot speed. Selects the core frequency and voltage to use during ROM execution.
00b – 48 MHz FRO @ 1.0V
01b – 72 MHz FRO @ 1.1V
10b – 144 MHz FRO @ 1.2V
11b – 150 MHz PLL @ 1.2V
</t>
        </r>
      </text>
    </comment>
    <comment ref="AA139" authorId="0" shapeId="0" xr:uid="{9D0CB888-462D-426E-A0F7-800265D2D73E}">
      <text>
        <r>
          <rPr>
            <b/>
            <sz val="9"/>
            <color indexed="81"/>
            <rFont val="Tahoma"/>
            <family val="2"/>
          </rPr>
          <t xml:space="preserve">Recovery boot source
</t>
        </r>
        <r>
          <rPr>
            <sz val="9"/>
            <color indexed="81"/>
            <rFont val="Tahoma"/>
            <family val="2"/>
          </rPr>
          <t xml:space="preserve">00 - Recovery boot disabled. 
01 - XIP  image in Bank1 IFR0 (32KB). 
10 - SB3  image in 1-bit SPI flash connected to FlexComm. FC7 used for this function by default overlappes with FlexSPI A.
11 - Reserved.
</t>
        </r>
      </text>
    </comment>
    <comment ref="AD139" authorId="0" shapeId="0" xr:uid="{D62B7AA1-752C-4326-B4B0-538AB6FF1E18}">
      <text>
        <r>
          <rPr>
            <sz val="9"/>
            <color indexed="81"/>
            <rFont val="Tahoma"/>
            <family val="2"/>
          </rPr>
          <t>ISP boot interface:
000 - Auto ISP
001 - UART ISP
010 - SPI Slave ISP
011 - I2C slave ISP
100 - USB0_HID
101 - USB1_HID
110 - CAN ISP
111 - Reserved.</t>
        </r>
      </text>
    </comment>
    <comment ref="AI139" authorId="3" shapeId="0" xr:uid="{DAA24F6D-D8BA-487E-9D4C-C4D9012CEE9F}">
      <text>
        <r>
          <rPr>
            <sz val="12"/>
            <color theme="1"/>
            <rFont val="Calibri"/>
            <family val="2"/>
            <scheme val="minor"/>
          </rPr>
          <t xml:space="preserve">Primary boot source
00/11 Internal flash
01 - FlexSPI flash XIP image
10 - Secondary Boot loader in Bank1 IFR0 (32KB). </t>
        </r>
      </text>
    </comment>
    <comment ref="U140" authorId="0" shapeId="0" xr:uid="{ABCFA00E-EA15-43D1-AFC4-068841F50C76}">
      <text>
        <r>
          <rPr>
            <b/>
            <sz val="9"/>
            <color indexed="81"/>
            <rFont val="Tahoma"/>
            <family val="2"/>
          </rPr>
          <t xml:space="preserve">Disable ISP mode entry on image authentication failure.
</t>
        </r>
        <r>
          <rPr>
            <sz val="9"/>
            <color indexed="81"/>
            <rFont val="Tahoma"/>
            <family val="2"/>
          </rPr>
          <t xml:space="preserve">
01 - ISP entry disabled. 
00,10, 11 - ISP entry allowed. 
</t>
        </r>
      </text>
    </comment>
    <comment ref="W140" authorId="0" shapeId="0" xr:uid="{806F80A6-C20B-4139-8DE3-9FF2227EEB35}">
      <text>
        <r>
          <rPr>
            <b/>
            <sz val="9"/>
            <color indexed="81"/>
            <rFont val="Tahoma"/>
            <family val="2"/>
          </rPr>
          <t xml:space="preserve">Disable ISP mode entry through ROM API call.
</t>
        </r>
        <r>
          <rPr>
            <sz val="9"/>
            <color indexed="81"/>
            <rFont val="Tahoma"/>
            <family val="2"/>
          </rPr>
          <t xml:space="preserve">ISP mode can be entered through ROM API invocation
01 - ISP entry disabled. 
00,10, 11 - ISP entry allowed.
</t>
        </r>
      </text>
    </comment>
    <comment ref="Y140" authorId="0" shapeId="0" xr:uid="{8AA03EFF-AE4D-41B2-BA6B-474C52E46F9D}">
      <text>
        <r>
          <rPr>
            <b/>
            <sz val="9"/>
            <color indexed="81"/>
            <rFont val="Tahoma"/>
            <family val="2"/>
          </rPr>
          <t>Disable ISP mode entry through debug mailbox command.</t>
        </r>
        <r>
          <rPr>
            <sz val="9"/>
            <color indexed="81"/>
            <rFont val="Tahoma"/>
            <family val="2"/>
          </rPr>
          <t xml:space="preserve">
01 - ISP entry disabled. 
00,10, 11 - ISP entry allowed. 
</t>
        </r>
      </text>
    </comment>
    <comment ref="AA140" authorId="0" shapeId="0" xr:uid="{BF1A36AE-9C39-4482-A4BE-A131424ED429}">
      <text>
        <r>
          <rPr>
            <b/>
            <sz val="9"/>
            <color indexed="81"/>
            <rFont val="Tahoma"/>
            <family val="2"/>
          </rPr>
          <t>Disable ISP mode entry</t>
        </r>
        <r>
          <rPr>
            <sz val="9"/>
            <color indexed="81"/>
            <rFont val="Tahoma"/>
            <family val="2"/>
          </rPr>
          <t xml:space="preserve"> </t>
        </r>
        <r>
          <rPr>
            <b/>
            <sz val="9"/>
            <color indexed="81"/>
            <rFont val="Tahoma"/>
            <family val="2"/>
          </rPr>
          <t xml:space="preserve"> through pin assertion.</t>
        </r>
        <r>
          <rPr>
            <sz val="9"/>
            <color indexed="81"/>
            <rFont val="Tahoma"/>
            <family val="2"/>
          </rPr>
          <t xml:space="preserve">
01 - ISP entry disabled. 
00,10, 11 - ISP entry allowed. </t>
        </r>
      </text>
    </comment>
    <comment ref="AC140" authorId="0" shapeId="0" xr:uid="{309D2C5A-DC9D-4CB6-9E80-F933D1B5C462}">
      <text>
        <r>
          <rPr>
            <sz val="12"/>
            <color theme="1"/>
            <rFont val="Calibri"/>
            <family val="2"/>
            <scheme val="minor"/>
          </rPr>
          <t xml:space="preserve">Defines flash protection of Bank1_IFR0 area based on usage. The MBC module is used to configure the access protections as readable (R), writeable (W), and/or executable (X). The access protections can also be configured as locked (L) which prevents later application code from changing the access protection configuration. The final MBC protection bits used for Bank1_IFR0 depend on the boot mode configuration, the boot path that is selected and the device life cycle state. The access This field will only modify the MBC protection bits for the Bank1_IFR0 area after the life cycle is advanced out of Develop. In the Develop life cycle state this field has no effect.
For example, if using the In-Field life cycle and Bank1_IFR0 is being used as a recovery boot image (REC_BOOT_SRC = 1) and OEM_BANK1_IFR0_PROT value = 5 is selected), then for a regular boot using the primary image Bank1_IFR0 is mapped to GLBAC2. If the primary boot fails, and the recovery path is taken, then Bank1_IFR0 is mapped to GLBAC4 instead.
Note: Settings 5-7 should not be used if Bank1_IFR0 is used as OEM_SBL (BOOT_SRC = 2). 
In Develop life cycle -
All settings: MBC protection bits set as RWXL = 1110 (GLBAC0)
In other life cycles – 
000: MBC protection bits set as RWXL = 1010 (GLBAC4)
001: MBC protection bits set as RWXL = 1010 (GLBAC4)
010: Used as OEM_SBL (BOOT_SRC = 2) - MBC protection bits set as RWXL = 1011 (GLBAC2). Other boot modes – MBC protection bits set as RWXL = 1010 (GLBAC4).
011: Used as OEM_SBL (BOOT_SRC = 2) - MBC protection bits set as RWXL = 0011 (GLBAC6). Other boot modes – MBC protection bits set as RWXL = 1010 (GLBAC4).
100: MBC protection bits set as RWXL = 1010 (GLBAC4)
101: Booted as OEM_RCVRY_IMG (REC_BOOT_SRC = 1) - MBC protection bits set as RWXL = 1010 (GLBAC4). Exiting to primary image (not SBL or recovery boot) – MBC protection bits set as RWXL = 1011 (GLBAC2).
110: Booted as OEM_RCVRY_IMG (REC_BOOT_SRC = 1) - MBC protection bits set as RWXL = 1010 (GLBAC4). Exiting to primary image (not SBL or recovery boot) – MBC protection bits set as RWXL = 0011 (GLBAC6).
111: Booted as OEM_RCVRY_IMG (REC_BOOT_SRC = 1) - MBC protection bits set as RWXL = 1010 (GLBAC4). Exiting to primary image (not SBL or recovery boot) – MBC protection bits set as RWXL = 0001 (GLBAC7).
Note, if the SBL / Recovery image size is more than IFR0 size of 32KB then sectors from user flash can be associated for extended image size using CMPA.REC_IMG_EXT0/1.
</t>
        </r>
      </text>
    </comment>
    <comment ref="AF140" authorId="0" shapeId="0" xr:uid="{7AF46C28-0752-40E4-A41C-3D6CD0117D82}">
      <text>
        <r>
          <rPr>
            <sz val="12"/>
            <color theme="1"/>
            <rFont val="Calibri"/>
            <family val="2"/>
            <scheme val="minor"/>
          </rPr>
          <t xml:space="preserve">Flash remap size.
 FLASH_REMAP_SIZE defines the size of the secondary boot image
 (the range of flash addresses that will be remapped)in internal flash, where remapped
address end = (FLASH_REMAP_SIZE + 1) * 32 KB. For example, if FLASH_REMAP_SIZE = 2,
then the first 96KB of addresses will be remapped to flash bank1 instead of flash bank0
when remap is active. Set this field to 0  if you do not want to use the flash remap feature </t>
        </r>
      </text>
    </comment>
    <comment ref="M141" authorId="0" shapeId="0" xr:uid="{017AF5BC-00A1-4D91-8E62-91A89C25CDD0}">
      <text>
        <r>
          <rPr>
            <b/>
            <sz val="9"/>
            <color indexed="81"/>
            <rFont val="Tahoma"/>
            <family val="2"/>
          </rPr>
          <t>Assert on fatal errors during boot.</t>
        </r>
        <r>
          <rPr>
            <sz val="9"/>
            <color indexed="81"/>
            <rFont val="Tahoma"/>
            <family val="2"/>
          </rPr>
          <t xml:space="preserve">
ROM drives the GPIO pin high identified by this field whenever primary boot fails due to fatal errors before locking-up/reset. 
[4:0] GPIO Pin number. P0_0 and P0_1 are not supported.
[7:5] GPIO port number. Only 0 - 4  ports are allowed.
 If this feature is not use then set this field to 0x00.</t>
        </r>
      </text>
    </comment>
    <comment ref="U141" authorId="0" shapeId="0" xr:uid="{73DD91E7-81FB-4B83-9AF9-88F1D06F8818}">
      <text>
        <r>
          <rPr>
            <b/>
            <sz val="9"/>
            <color indexed="81"/>
            <rFont val="Tahoma"/>
            <family val="2"/>
          </rPr>
          <t>Assert on ISP fall through.</t>
        </r>
        <r>
          <rPr>
            <sz val="9"/>
            <color indexed="81"/>
            <rFont val="Tahoma"/>
            <family val="2"/>
          </rPr>
          <t xml:space="preserve">
ROM drives the GPIO pin high identified by this field whenever primary boot fails and execution falls through to ISP mode. 
[[4:0] GPIO Pin number. P0_0 and P0_1 are not supported.
[7:5] GPIO port number. Only 0 - 4  ports are allowed.
 If this feature is not use then set this field to 0x00.
 </t>
        </r>
      </text>
    </comment>
    <comment ref="AC141" authorId="0" shapeId="0" xr:uid="{4E399331-808C-45E2-8381-5FA83852F468}">
      <text>
        <r>
          <rPr>
            <b/>
            <sz val="9"/>
            <color indexed="81"/>
            <rFont val="Tahoma"/>
            <family val="2"/>
          </rPr>
          <t>Assert on recovery boot.</t>
        </r>
        <r>
          <rPr>
            <sz val="9"/>
            <color indexed="81"/>
            <rFont val="Tahoma"/>
            <family val="2"/>
          </rPr>
          <t xml:space="preserve">
ROM drives the GPIO pin high, identified by this field whenever primary boot fails and fall through to recovery boot source. 
[4:0] GPIO Pin number. P0_0 and P0_1 are not supported.
[7:5] GPIO port number. Only 0 - 4  ports are allowed.
 If this feature is not use then set this field to 0x00.</t>
        </r>
      </text>
    </comment>
    <comment ref="E142" authorId="0" shapeId="0" xr:uid="{A76DFFBF-8457-4F76-8A25-146B6494184C}">
      <text>
        <r>
          <rPr>
            <b/>
            <sz val="9"/>
            <color indexed="81"/>
            <rFont val="Tahoma"/>
            <family val="2"/>
          </rPr>
          <t xml:space="preserve">WDOG timeout:
</t>
        </r>
        <r>
          <rPr>
            <sz val="9"/>
            <color indexed="81"/>
            <rFont val="Tahoma"/>
            <family val="2"/>
          </rPr>
          <t xml:space="preserve">Upper 16 bits of 24-bit count value in WWDT0_TC register Timeout value in seconds. The lower 8 bits of  WWDT0_TC are set to 0.
When a non-zero value is programmed in this field ROM configures the watch dog timer to reset the device on timeout before passing execution control to user code. 
</t>
        </r>
      </text>
    </comment>
    <comment ref="U142" authorId="0" shapeId="0" xr:uid="{D0BCF7E0-597F-4529-89CC-0F2F2BDE268F}">
      <text>
        <r>
          <rPr>
            <b/>
            <sz val="9"/>
            <color indexed="81"/>
            <rFont val="Tahoma"/>
            <family val="2"/>
          </rPr>
          <t xml:space="preserve">Powerdown timeout:
</t>
        </r>
        <r>
          <rPr>
            <sz val="9"/>
            <color indexed="81"/>
            <rFont val="Tahoma"/>
            <family val="2"/>
          </rPr>
          <t xml:space="preserve">ISP mode peripheral detection timeout value in seconds. 
If a non-zero value is program and peripheral activity is not detected within the number of seconds specified here, then the device will go to power down mode to conserve power.   </t>
        </r>
        <r>
          <rPr>
            <b/>
            <sz val="9"/>
            <color indexed="81"/>
            <rFont val="Tahoma"/>
            <family val="2"/>
          </rPr>
          <t xml:space="preserve"> </t>
        </r>
      </text>
    </comment>
    <comment ref="E143" authorId="0" shapeId="0" xr:uid="{82D08FC4-46C3-403C-84BC-E7E94BEFA771}">
      <text>
        <r>
          <rPr>
            <sz val="12"/>
            <color theme="1"/>
            <rFont val="Calibri"/>
            <family val="2"/>
            <scheme val="minor"/>
          </rPr>
          <t xml:space="preserve">Defines which FlexSPI portA/B is used for boot.
0 - Port A
1 - Port B
</t>
        </r>
      </text>
    </comment>
    <comment ref="H143" authorId="3" shapeId="0" xr:uid="{1CE6F638-374F-486A-8A7D-99C42B790FBF}">
      <text>
        <r>
          <rPr>
            <sz val="12"/>
            <color theme="1"/>
            <rFont val="Calibri"/>
            <family val="2"/>
            <scheme val="minor"/>
          </rPr>
          <t>Delay after POR before accessing Quad/Octal-SPI flash devices in addition to delay defined by FLEXSPI_HOLD TIME field.
b'0000  :  No delay
b'0001  :  Waits additional 100 microseconds. 
b'0010  :  Waits additional 500 microseconds. 
b'0011  :  Waits additional 1 millisecond. 
b'0100  :  Waits additional 10 milliseconds.
b'0101  :  Waits additional 20 milliseconds.
b'0110  :  Waits additional 40 milliseconds. 
b'0111  :  Waits additional 60 milliseconds.
b'1000  :  Waits additional 80 milliseconds. 
b'1001  :  Waits additional 100 milliseconds. 
b'1010  :  Waits additional 120 milliseconds. 
b'1011  :  Waits additional 140 milliseconds. 
b'1100  :  Waits additional 160 milliseconds. 
b'1101  :  Waits additional 180 milliseconds. 
b'1110  :  Waits additional 200 milliseconds. 
b'1111  :  Waits additional 220 milliseconds.</t>
        </r>
      </text>
    </comment>
    <comment ref="L143" authorId="3" shapeId="0" xr:uid="{0FB1A2D0-28D4-40FD-AFD3-531099B493A3}">
      <text>
        <r>
          <rPr>
            <sz val="12"/>
            <color theme="1"/>
            <rFont val="Calibri"/>
            <family val="2"/>
            <scheme val="minor"/>
          </rPr>
          <t>Delay after reset before accessing Quad/Octal-SPI flash devices.
Note, for POR in addition to this wait time FLEXSPI_PWR_HOLD_TIME is added.
b'00  :  Wait for 500 microseconds.
b'01  :  Wait for 1 millisecond.
b'10  :  Wait for 3 milliseconds.
b'11  :  Wait for 10 milliseconds.</t>
        </r>
      </text>
    </comment>
    <comment ref="N143" authorId="3" shapeId="0" xr:uid="{879F9F96-A18D-44D2-9BFA-D5F65853B098}">
      <text>
        <r>
          <rPr>
            <sz val="12"/>
            <color theme="1"/>
            <rFont val="Calibri"/>
            <family val="2"/>
            <scheme val="minor"/>
          </rPr>
          <t>When FLEXSPI_RESET_ENABLE = 1, this field determines the GPIO  pin number to use for O/QSPI reset function.</t>
        </r>
      </text>
    </comment>
    <comment ref="S143" authorId="3" shapeId="0" xr:uid="{18C8F0F7-DB49-47F9-93FD-397018AB0F04}">
      <text>
        <r>
          <rPr>
            <sz val="12"/>
            <color theme="1"/>
            <rFont val="Calibri"/>
            <family val="2"/>
            <scheme val="minor"/>
          </rPr>
          <t xml:space="preserve">When FLEXSPI_RESET_ENABLE = 1, this field determines the GPIO  port number to use for O/QSPI reset function.
</t>
        </r>
      </text>
    </comment>
    <comment ref="V143" authorId="3" shapeId="0" xr:uid="{5B500AD1-5358-4CBF-B87B-2E8C305E19BC}">
      <text>
        <r>
          <rPr>
            <sz val="12"/>
            <color theme="1"/>
            <rFont val="Calibri"/>
            <family val="2"/>
            <scheme val="minor"/>
          </rPr>
          <t>Use O/QSPI_RESET_PIN to reset the flash device.
b'0  : NO_RESET(O/QSPI device reset pin is not connected or available.)
b'0  : EN_RESET(O/QSPI device reset pin is connected to a GPIO (QSPI_RESET_PIN).)</t>
        </r>
      </text>
    </comment>
    <comment ref="W143" authorId="3" shapeId="0" xr:uid="{3AF87196-BF06-4C2F-9368-3E35773EA206}">
      <text>
        <r>
          <rPr>
            <b/>
            <sz val="9"/>
            <color indexed="81"/>
            <rFont val="Tahoma"/>
            <family val="2"/>
          </rPr>
          <t xml:space="preserve">Q/O-SPI flash interface frequency.
</t>
        </r>
        <r>
          <rPr>
            <sz val="9"/>
            <color indexed="81"/>
            <rFont val="Tahoma"/>
            <family val="2"/>
          </rPr>
          <t>b'000</t>
        </r>
        <r>
          <rPr>
            <b/>
            <sz val="9"/>
            <color indexed="81"/>
            <rFont val="Tahoma"/>
            <family val="2"/>
          </rPr>
          <t xml:space="preserve">  :  </t>
        </r>
        <r>
          <rPr>
            <sz val="9"/>
            <color indexed="81"/>
            <rFont val="Tahoma"/>
            <family val="2"/>
          </rPr>
          <t>75Mhz
b'001  :  60Mhz
b'010  :  50Mhz
b'011  :  100Mhz
b'100  - b'111  :  Reserved
Note, this field is used when FLEXSPI_AUTO_PROBE_EN is set.</t>
        </r>
      </text>
    </comment>
    <comment ref="Z143" authorId="3" shapeId="0" xr:uid="{32A2666E-47F5-4325-B1DA-CE2B3BB2D9F0}">
      <text>
        <r>
          <rPr>
            <b/>
            <sz val="9"/>
            <color indexed="81"/>
            <rFont val="Tahoma"/>
            <family val="2"/>
          </rPr>
          <t xml:space="preserve">Quad/Octal-SPI dummy cycles for read command.
</t>
        </r>
        <r>
          <rPr>
            <sz val="9"/>
            <color indexed="81"/>
            <rFont val="Tahoma"/>
            <family val="2"/>
          </rPr>
          <t>If a non-zero value is programmed in this field, then the value is used to override the default number of dummy cycles for a fast read command read from the serial flash’s SFDP information.
Note: this field is only used if FLEXSPI_AUTO_PROBE_EN is set.</t>
        </r>
      </text>
    </comment>
    <comment ref="AD143" authorId="3" shapeId="0" xr:uid="{19F1A4D8-C9FF-45EA-956D-5B7D3BDF5E0E}">
      <text>
        <r>
          <rPr>
            <sz val="12"/>
            <color theme="1"/>
            <rFont val="Calibri"/>
            <family val="2"/>
            <scheme val="minor"/>
          </rPr>
          <t>Define typical Serial NOR Flash types
b'000  :  QSPI_ADDR_3B 
b'001  :  Reserved
b'010  :  HYPER_1V8
b'011  :  HYPER_3V3
b'100  :  FlexSPI_DDR_MXIC
b'101  :  FlexSPI_DDR_MICRON
b'110  :  Reserved
b'111  :  Reserved
This field is always used irrespective of FLEXSPI_AUTO_PROBE_EN value.</t>
        </r>
      </text>
    </comment>
    <comment ref="AG143" authorId="3" shapeId="0" xr:uid="{D7EAFAE7-73DB-4042-964E-0C52EEF71B13}">
      <text>
        <r>
          <rPr>
            <b/>
            <sz val="9"/>
            <color indexed="81"/>
            <rFont val="Tahoma"/>
            <family val="2"/>
          </rPr>
          <t>Quad/Octal-SPI flash probe type.</t>
        </r>
        <r>
          <rPr>
            <sz val="9"/>
            <color indexed="81"/>
            <rFont val="Tahoma"/>
            <family val="2"/>
          </rPr>
          <t xml:space="preserve">
b'000  :  QuadSPI NOR
b'001  :  Macronix Octal FLASH
b'010  :  Micron Octal FLASH
b'011  :  Adesto Octal FLASH
b'100  :  Reserved
b'101  :  Reserved
b'110  :  Reserved
b'111  :  Reserved
Note, this field is used when FLEXSPI_AUTO_PROBE_EN is set.</t>
        </r>
      </text>
    </comment>
    <comment ref="AJ143" authorId="3" shapeId="0" xr:uid="{B4BAEDA9-B2C1-4647-97F0-2BDCA9F5AFF8}">
      <text>
        <r>
          <rPr>
            <b/>
            <sz val="9"/>
            <color indexed="81"/>
            <rFont val="Tahoma"/>
            <family val="2"/>
          </rPr>
          <t>Quad/Octal-SPI flash auto probe feature enable</t>
        </r>
        <r>
          <rPr>
            <sz val="9"/>
            <color indexed="81"/>
            <rFont val="Tahoma"/>
            <family val="2"/>
          </rPr>
          <t xml:space="preserve">
b'0  :  Disable
b'1  :  Enable</t>
        </r>
      </text>
    </comment>
    <comment ref="P144" authorId="3" shapeId="0" xr:uid="{677768C5-5F6F-4892-B809-EC1AD695300C}">
      <text>
        <r>
          <rPr>
            <sz val="12"/>
            <color theme="1"/>
            <rFont val="Calibri"/>
            <family val="2"/>
            <scheme val="minor"/>
          </rPr>
          <t xml:space="preserve">Any offset in memory mapped FlexSPI Flash area could be remapped to offset zero to support eXecute In Place (XIP) of image programmed at different offset. This allows to build all update images with same RO base address, which are programmed at offset 0 or higher offset. FLEXSPI_IMAGE_OFFSET field specifies the offset location of second image. FLEXSPI_REMAP_IMAGE_SIZE field specifies the size multiple to determine the size of area to be remapped.  
b'0000   Remap size = FLEXSPI_IMAGE_OFFSET * 256KByte;"   SIZE_OFFSET "Size of the remapped area (aka second half) is same as first half. It is determined by FLEXSPI_IMAGE_OFFSET Field. 
b'0001   SIZE_1MB Size of remapped area is 1MByte.                            
b'0010   SIZE_2MB Size of remapped area is 2MByte.                            
b'0011   SIZE_3MB Size of remapped area is 3MByte.                           
b'0100   SIZE_4MB Size of remapped area is 4MByte.
b'0101   SIZE_5MB Size of remapped area is 5MByte.                            
b'0110   SIZE_6MB Size of remapped area is 6MByte.                            
b'0111   SIZE_7MB Size of remapped area is 7MByte.                            
b'1000   SIZE_8MB Size of remapped area is 8MByte.                            
b'1001   SIZE_9MB Size of remapped area is 9MByte.                            
b'1010   SIZE_10MB Size of remapped area is 10MByte.                         
b'1011   SIZE_11MB Size of remapped area is 11MByte.                         
b'1100   SIZE_12MB Size of remapped area is 12MByte.                         
b'1101   SIZE_256KB Size of remapped area is 256KByte.                       
b'1110   SIZE_512KB Size of remapped area is 512KByte.                      
b'1111  SIZE_768KB Size of remapped area is 768KByte.  
NOTE: FlexSPI remap size cannot exceed the start address of boot image 1.                      </t>
        </r>
      </text>
    </comment>
    <comment ref="T144" authorId="3" shapeId="0" xr:uid="{A39856F9-C629-4F4E-B8FD-448DF0E31E10}">
      <text>
        <r>
          <rPr>
            <sz val="12"/>
            <color theme="1"/>
            <rFont val="Calibri"/>
            <family val="2"/>
            <scheme val="minor"/>
          </rPr>
          <t xml:space="preserve">Any offset in memory mapped FlexSPI Flash area could be remapped to offset zero to support  eXecute In Place (XIP) of image programmed at different offset. 
This allows to build all update images with same RO base address, which are programmed at offset 0 or higher offset. 
FlLEXSPI_IMAGE_OFFSET field specifies the offset location of the second image. FLEXSPI_REMAP_IMAGE_SIZE field specifies the size multiple to determine the size of area to be remapped. 
If this field is left blank boot ROM will not enable FlexSPI remap feature. 
The physical flash offset is computed as below:
physical offset = FLEXSPI_IMAGE_OFFSET * 256KByte;
</t>
        </r>
      </text>
    </comment>
    <comment ref="AD144" authorId="3" shapeId="0" xr:uid="{3F93D5E6-0F5D-408B-BEA6-F82CDDB66AF9}">
      <text>
        <r>
          <rPr>
            <sz val="9"/>
            <color indexed="81"/>
            <rFont val="Tahoma"/>
            <family val="2"/>
          </rPr>
          <t>Delay cell numbers for Flash read sampling via DQS (either internal loopback or external DQS). 
The value provided here is loaded into the FLEXSPIn_DLLnCR.</t>
        </r>
      </text>
    </comment>
    <comment ref="I145" authorId="0" shapeId="0" xr:uid="{18F9CA63-D303-4711-B0DD-F424FFF5FB54}">
      <text>
        <r>
          <rPr>
            <sz val="12"/>
            <color theme="1"/>
            <rFont val="Calibri"/>
            <family val="2"/>
            <scheme val="minor"/>
          </rPr>
          <t>Identifies the ALT pin mux function to use for the pin selected by REC_SPI_MOSI_PIN.</t>
        </r>
      </text>
    </comment>
    <comment ref="M145" authorId="0" shapeId="0" xr:uid="{2DAA3016-B75C-4F9C-8C03-3EE340B46CB9}">
      <text>
        <r>
          <rPr>
            <sz val="12"/>
            <color theme="1"/>
            <rFont val="Calibri"/>
            <family val="2"/>
            <scheme val="minor"/>
          </rPr>
          <t xml:space="preserve">Override default SPI_MOSI ISP pin.
Identifies the pin to be used as SPI_MOSI pin. 
[4:0] GPIO Pin number
[7:5] GPIO port number
 </t>
        </r>
      </text>
    </comment>
    <comment ref="U145" authorId="0" shapeId="0" xr:uid="{96C724A2-468E-482E-B7FD-30CF543B1D27}">
      <text>
        <r>
          <rPr>
            <b/>
            <sz val="9"/>
            <color indexed="81"/>
            <rFont val="Tahoma"/>
            <family val="2"/>
          </rPr>
          <t>Identifies the FlexComm used for SPI ISP mode.</t>
        </r>
      </text>
    </comment>
    <comment ref="Y145" authorId="0" shapeId="0" xr:uid="{672CD759-9A04-4DD3-B9BA-0E5BF2E32EAC}">
      <text>
        <r>
          <rPr>
            <sz val="12"/>
            <color theme="1"/>
            <rFont val="Calibri"/>
            <family val="2"/>
            <scheme val="minor"/>
          </rPr>
          <t>Identifies the ALT pin mux function to use for the pin selected by REC_SPI_SCK_PIN.</t>
        </r>
      </text>
    </comment>
    <comment ref="AC145" authorId="0" shapeId="0" xr:uid="{76E0D17A-8CCD-4E0F-906B-9039F8A053B7}">
      <text>
        <r>
          <rPr>
            <sz val="12"/>
            <color theme="1"/>
            <rFont val="Calibri"/>
            <family val="2"/>
            <scheme val="minor"/>
          </rPr>
          <t xml:space="preserve">Override default SPI_SCK ISP pin.
Identifies the pin to be used as SPI_SCK pin. 
[4:0] GPIO Pin number
[7:5] GPIO port number
 </t>
        </r>
      </text>
    </comment>
    <comment ref="E146" authorId="3" shapeId="0" xr:uid="{80FC2966-4A9E-4960-9CD3-098347B9C834}">
      <text>
        <r>
          <rPr>
            <sz val="12"/>
            <color theme="1"/>
            <rFont val="Calibri"/>
            <family val="2"/>
            <scheme val="minor"/>
          </rPr>
          <t>Use customer defined pins for 1-bit SPI recovery boot pins.
01: Customer defined.
00, 10, 11: Default ROM defined pins.</t>
        </r>
      </text>
    </comment>
    <comment ref="G146" authorId="0" shapeId="0" xr:uid="{DA2ABEDA-9EFB-4022-B686-B54E8B872932}">
      <text>
        <r>
          <rPr>
            <sz val="12"/>
            <color theme="1"/>
            <rFont val="Calibri"/>
            <family val="2"/>
            <scheme val="minor"/>
          </rPr>
          <t xml:space="preserve">SPI chip select number.
FlexComm SPI interfaces supports up to four chip selects.
</t>
        </r>
      </text>
    </comment>
    <comment ref="I146" authorId="0" shapeId="0" xr:uid="{4F54C13D-BD63-4028-8B6C-BE9973117432}">
      <text>
        <r>
          <rPr>
            <sz val="12"/>
            <color theme="1"/>
            <rFont val="Calibri"/>
            <family val="2"/>
            <scheme val="minor"/>
          </rPr>
          <t>Identifies the ALT pin mux function to use for the pin selected by REC_SPI_SSEL_PIN.</t>
        </r>
      </text>
    </comment>
    <comment ref="M146" authorId="0" shapeId="0" xr:uid="{6901C5C7-9CE8-48D6-8A1B-9B8F55001274}">
      <text>
        <r>
          <rPr>
            <sz val="12"/>
            <color theme="1"/>
            <rFont val="Calibri"/>
            <family val="2"/>
            <scheme val="minor"/>
          </rPr>
          <t xml:space="preserve">Override default SPI_SSEL ISP pin.
Identifies the pin to be used as SPI_SSEL pin. 
[4:0] GPIO Pin number
[7:5] GPIO port number
 </t>
        </r>
      </text>
    </comment>
    <comment ref="Y146" authorId="0" shapeId="0" xr:uid="{3C4549F1-3140-4197-BE8C-3265909CE9CC}">
      <text>
        <r>
          <rPr>
            <sz val="12"/>
            <color theme="1"/>
            <rFont val="Calibri"/>
            <family val="2"/>
            <scheme val="minor"/>
          </rPr>
          <t>Identifies the ALT pin mux function to use for the pin selected by REC_SPI_MISO_PIN.</t>
        </r>
      </text>
    </comment>
    <comment ref="AC146" authorId="0" shapeId="0" xr:uid="{30F730B8-ACD9-4E27-B7DB-0BEFD4D16B73}">
      <text>
        <r>
          <rPr>
            <sz val="12"/>
            <color theme="1"/>
            <rFont val="Calibri"/>
            <family val="2"/>
            <scheme val="minor"/>
          </rPr>
          <t xml:space="preserve">Override default SPI_MISO ISP pin.
Identifies the pin to be used as SPI_MISO pin. 
[4:0] GPIO Pin number
[7:5] GPIO port number
 </t>
        </r>
      </text>
    </comment>
    <comment ref="I147" authorId="0" shapeId="0" xr:uid="{0B6D36A9-50F2-49A0-AF34-8C61C5C6C884}">
      <text>
        <r>
          <rPr>
            <sz val="12"/>
            <color theme="1"/>
            <rFont val="Calibri"/>
            <family val="2"/>
            <scheme val="minor"/>
          </rPr>
          <t>Identifies the ALT pin mux function to use for the pin selected by UART_TX_PIN.</t>
        </r>
      </text>
    </comment>
    <comment ref="M147" authorId="0" shapeId="0" xr:uid="{4D113376-B489-4B11-B399-1C9B2100FD3B}">
      <text>
        <r>
          <rPr>
            <sz val="12"/>
            <color theme="1"/>
            <rFont val="Calibri"/>
            <family val="2"/>
            <scheme val="minor"/>
          </rPr>
          <t xml:space="preserve">Override default UART TX ISP pin.
Identifies the pin to be used as UART_TX pin. 
[4:0] GPIO Pin number
[7:5] GPIO port number
 </t>
        </r>
      </text>
    </comment>
    <comment ref="U147" authorId="0" shapeId="0" xr:uid="{ABD43596-1B7E-4669-AA66-929D022ABD3C}">
      <text>
        <r>
          <rPr>
            <b/>
            <sz val="9"/>
            <color indexed="81"/>
            <rFont val="Tahoma"/>
            <family val="2"/>
          </rPr>
          <t>Identifies the FlexComm used for UART ISP mode.</t>
        </r>
      </text>
    </comment>
    <comment ref="Y147" authorId="0" shapeId="0" xr:uid="{1DFAF032-7F49-45FB-86B7-F8971413E2D4}">
      <text>
        <r>
          <rPr>
            <sz val="12"/>
            <color theme="1"/>
            <rFont val="Calibri"/>
            <family val="2"/>
            <scheme val="minor"/>
          </rPr>
          <t>Identifies the ALT pin mux function to use for the pin selected by UART_RX_PIN.</t>
        </r>
      </text>
    </comment>
    <comment ref="AC147" authorId="0" shapeId="0" xr:uid="{60C968B0-4B2F-44B4-97C7-30B63B0B2DDF}">
      <text>
        <r>
          <rPr>
            <sz val="12"/>
            <color theme="1"/>
            <rFont val="Calibri"/>
            <family val="2"/>
            <scheme val="minor"/>
          </rPr>
          <t xml:space="preserve">Override default UART RX ISP pin.
Identifies the pin to be used as UART_RX pin. 
[4:0] GPIO Pin number
[7:5] GPIO port number
 </t>
        </r>
      </text>
    </comment>
    <comment ref="I148" authorId="0" shapeId="0" xr:uid="{E9003E70-1934-4E59-9E3F-F18964BF78F5}">
      <text>
        <r>
          <rPr>
            <sz val="12"/>
            <color theme="1"/>
            <rFont val="Calibri"/>
            <family val="2"/>
            <scheme val="minor"/>
          </rPr>
          <t>Identifies the ALT pin mux function to use for the pin selected by I2C_SDA_PIN.</t>
        </r>
      </text>
    </comment>
    <comment ref="M148" authorId="0" shapeId="0" xr:uid="{2E3A3FD7-E05E-4E09-BD1A-EA63ED6EB6A7}">
      <text>
        <r>
          <rPr>
            <sz val="12"/>
            <color theme="1"/>
            <rFont val="Calibri"/>
            <family val="2"/>
            <scheme val="minor"/>
          </rPr>
          <t xml:space="preserve">Override default I2C SDA ISP pin.
Identifies the pin to be used as I2C_SDA pin. 
[4:0] GPIO Pin number
[7:5] GPIO port number
 </t>
        </r>
      </text>
    </comment>
    <comment ref="U148" authorId="0" shapeId="0" xr:uid="{C5244DF8-2BFC-4677-90C6-BEA9A05E9182}">
      <text>
        <r>
          <rPr>
            <sz val="12"/>
            <color theme="1"/>
            <rFont val="Calibri"/>
            <family val="2"/>
            <scheme val="minor"/>
          </rPr>
          <t>Identifies the FlexComm used for I2C ISP mode.</t>
        </r>
      </text>
    </comment>
    <comment ref="Y148" authorId="0" shapeId="0" xr:uid="{EAF8A8F6-836E-4546-AA61-70E7833175AE}">
      <text>
        <r>
          <rPr>
            <sz val="12"/>
            <color theme="1"/>
            <rFont val="Calibri"/>
            <family val="2"/>
            <scheme val="minor"/>
          </rPr>
          <t>Identifies the ALT pin mux function to use for the pin selected by I2C_SCL_PIN.</t>
        </r>
      </text>
    </comment>
    <comment ref="AC148" authorId="0" shapeId="0" xr:uid="{DAE8513F-B127-4343-ACC5-76087C9AA71B}">
      <text>
        <r>
          <rPr>
            <sz val="12"/>
            <color theme="1"/>
            <rFont val="Calibri"/>
            <family val="2"/>
            <scheme val="minor"/>
          </rPr>
          <t xml:space="preserve">Override default I2C SCL ISP pin.
Identifies the pin to be used as I2C_SCL pin. 
[4:0] GPIO Pin number
[7:5] GPIO port number
 </t>
        </r>
      </text>
    </comment>
    <comment ref="E149" authorId="2" shapeId="0" xr:uid="{2F80599C-B9A6-452E-8C1D-9AD8026908ED}">
      <text>
        <r>
          <rPr>
            <sz val="12"/>
            <color theme="1"/>
            <rFont val="Calibri"/>
            <family val="2"/>
            <scheme val="minor"/>
          </rPr>
          <t xml:space="preserve">CAN baud rate.
Baud rate configured during CAN ISP mode.
0000 - Auto baud detection (125K, 250K, 500K, 750K, 1M).
0001: 125 kbps
0010: 250 kbps
0011: 500 kbps
0100: 750 kbps
0101 and above: 1000 kbps and auto baud detection.
</t>
        </r>
      </text>
    </comment>
    <comment ref="I149" authorId="0" shapeId="0" xr:uid="{0DD143F1-D593-44EC-9419-7BFF987F052C}">
      <text>
        <r>
          <rPr>
            <sz val="12"/>
            <color theme="1"/>
            <rFont val="Calibri"/>
            <family val="2"/>
            <scheme val="minor"/>
          </rPr>
          <t>Identifies the ALT pin mux function to use for the pin selected by CAN_TX_PIN.</t>
        </r>
      </text>
    </comment>
    <comment ref="M149" authorId="0" shapeId="0" xr:uid="{A12C8618-1FC3-4D48-8DC9-DCCB52854A0B}">
      <text>
        <r>
          <rPr>
            <sz val="12"/>
            <color theme="1"/>
            <rFont val="Calibri"/>
            <family val="2"/>
            <scheme val="minor"/>
          </rPr>
          <t xml:space="preserve">Override default CAN TX ISP pin.
Identifies the pin to be used as CAN_TX pin. 
[4:0] GPIO Pin number
[7:5] GPIO port number
 </t>
        </r>
      </text>
    </comment>
    <comment ref="U149" authorId="0" shapeId="0" xr:uid="{D6633968-098C-4145-9EC7-A92B26359101}">
      <text>
        <r>
          <rPr>
            <sz val="12"/>
            <color theme="1"/>
            <rFont val="Calibri"/>
            <family val="2"/>
            <scheme val="minor"/>
          </rPr>
          <t xml:space="preserve">Identifies the instance used for CAN ISP mode.
0: For CAN0.
1: For CAN1
0thers: Reserved.
</t>
        </r>
      </text>
    </comment>
    <comment ref="Y149" authorId="0" shapeId="0" xr:uid="{D14F4F58-8177-4B44-B519-533DC4BD07B1}">
      <text>
        <r>
          <rPr>
            <sz val="12"/>
            <color theme="1"/>
            <rFont val="Calibri"/>
            <family val="2"/>
            <scheme val="minor"/>
          </rPr>
          <t>Identifies the ALT pin mux function to use for the pin selected by CAN_RX_PIN.</t>
        </r>
      </text>
    </comment>
    <comment ref="AC149" authorId="0" shapeId="0" xr:uid="{99A0A65D-365F-4E99-BD12-CCE0D81B7C2A}">
      <text>
        <r>
          <rPr>
            <sz val="12"/>
            <color theme="1"/>
            <rFont val="Calibri"/>
            <family val="2"/>
            <scheme val="minor"/>
          </rPr>
          <t xml:space="preserve">Override default CAN RX ISP pin.
Identifies the pin to be used as CAN_RX pin. 
[4:0] GPIO Pin number
[7:5] GPIO port number
 </t>
        </r>
      </text>
    </comment>
    <comment ref="I150" authorId="0" shapeId="0" xr:uid="{18A4721F-5E99-4803-BF13-5B103145F73E}">
      <text>
        <r>
          <rPr>
            <sz val="12"/>
            <color theme="1"/>
            <rFont val="Calibri"/>
            <family val="2"/>
            <scheme val="minor"/>
          </rPr>
          <t>Identifies the ALT pin mux function to use for the pin selected by SPI_MOSI_PIN.</t>
        </r>
      </text>
    </comment>
    <comment ref="M150" authorId="0" shapeId="0" xr:uid="{013AE0BB-7C40-46E9-BACC-AF192B99AADE}">
      <text>
        <r>
          <rPr>
            <sz val="12"/>
            <color theme="1"/>
            <rFont val="Calibri"/>
            <family val="2"/>
            <scheme val="minor"/>
          </rPr>
          <t xml:space="preserve">Override default SPI_MOSI ISP pin.
Identifies the pin to be used as SPI_MOSI pin. 
[4:0] GPIO Pin number
[7:5] GPIO port number
 </t>
        </r>
      </text>
    </comment>
    <comment ref="U150" authorId="0" shapeId="0" xr:uid="{5B73299F-F3B3-46A6-9BF3-7072CFBCE63C}">
      <text>
        <r>
          <rPr>
            <b/>
            <sz val="9"/>
            <color indexed="81"/>
            <rFont val="Tahoma"/>
            <family val="2"/>
          </rPr>
          <t>Identifies the FlexComm used for SPI ISP mode.</t>
        </r>
      </text>
    </comment>
    <comment ref="Y150" authorId="0" shapeId="0" xr:uid="{D2A645B8-2FAE-4116-B019-6B8F15414447}">
      <text>
        <r>
          <rPr>
            <sz val="12"/>
            <color theme="1"/>
            <rFont val="Calibri"/>
            <family val="2"/>
            <scheme val="minor"/>
          </rPr>
          <t>Identifies the ALT pin mux function to use for the pin selected by SPI_SCK_PIN.</t>
        </r>
      </text>
    </comment>
    <comment ref="AC150" authorId="0" shapeId="0" xr:uid="{2F16479C-5BD8-4126-85DF-0BB2B44BDE58}">
      <text>
        <r>
          <rPr>
            <sz val="12"/>
            <color theme="1"/>
            <rFont val="Calibri"/>
            <family val="2"/>
            <scheme val="minor"/>
          </rPr>
          <t xml:space="preserve">Override default SPI_SCK ISP pin.
Identifies the pin to be used as SPI_SCK pin. 
[4:0] GPIO Pin number
[7:5] GPIO port number
 </t>
        </r>
      </text>
    </comment>
    <comment ref="G151" authorId="0" shapeId="0" xr:uid="{A4669A5E-F672-4960-9EC7-29341F25F3D3}">
      <text>
        <r>
          <rPr>
            <sz val="12"/>
            <color theme="1"/>
            <rFont val="Calibri"/>
            <family val="2"/>
            <scheme val="minor"/>
          </rPr>
          <t xml:space="preserve">SPI chip select number.
FlexComm SPI interfaces supports up to four chip selects.
</t>
        </r>
      </text>
    </comment>
    <comment ref="I151" authorId="0" shapeId="0" xr:uid="{4DDFD8EF-3843-494D-A841-DCD78D268BA5}">
      <text>
        <r>
          <rPr>
            <sz val="12"/>
            <color theme="1"/>
            <rFont val="Calibri"/>
            <family val="2"/>
            <scheme val="minor"/>
          </rPr>
          <t>Identifies the ALT pin mux function to use for the pin selected by SPI_SSEL_PIN.</t>
        </r>
      </text>
    </comment>
    <comment ref="M151" authorId="0" shapeId="0" xr:uid="{544E7147-E59B-4A1F-8187-AE88A7D13E06}">
      <text>
        <r>
          <rPr>
            <sz val="12"/>
            <color theme="1"/>
            <rFont val="Calibri"/>
            <family val="2"/>
            <scheme val="minor"/>
          </rPr>
          <t xml:space="preserve">Override default SPI_SSEL ISP pin.
Identifies the pin to be used as SPI_SSEL pin. 
[4:0] GPIO Pin number
[7:5] GPIO port number
 </t>
        </r>
      </text>
    </comment>
    <comment ref="Y151" authorId="0" shapeId="0" xr:uid="{E885E145-76D0-442C-97BC-77C8E9096584}">
      <text>
        <r>
          <rPr>
            <sz val="12"/>
            <color theme="1"/>
            <rFont val="Calibri"/>
            <family val="2"/>
            <scheme val="minor"/>
          </rPr>
          <t>Identifies the ALT pin mux function to use for the pin selected by SPI_MISO_PIN.</t>
        </r>
      </text>
    </comment>
    <comment ref="AC151" authorId="0" shapeId="0" xr:uid="{A2AEA08E-98B5-462E-90A7-1D635E367C1D}">
      <text>
        <r>
          <rPr>
            <sz val="12"/>
            <color theme="1"/>
            <rFont val="Calibri"/>
            <family val="2"/>
            <scheme val="minor"/>
          </rPr>
          <t xml:space="preserve">Override default SPI_MISO ISP pin.
Identifies the pin to be used as SPI_MISO pin. 
[4:0] GPIO Pin number
[7:5] GPIO port number
 </t>
        </r>
      </text>
    </comment>
    <comment ref="E152" authorId="0" shapeId="0" xr:uid="{CB47FDF8-89BE-4EAE-99ED-F197F1B90147}">
      <text>
        <r>
          <rPr>
            <sz val="9"/>
            <color indexed="81"/>
            <rFont val="Tahoma"/>
            <family val="2"/>
          </rPr>
          <t>Customer defined USB product ID used during USB-ISP mode device enumeration.</t>
        </r>
      </text>
    </comment>
    <comment ref="U152" authorId="0" shapeId="0" xr:uid="{54630A57-2569-4263-B50C-2452E55949E0}">
      <text>
        <r>
          <rPr>
            <sz val="9"/>
            <color indexed="81"/>
            <rFont val="Tahoma"/>
            <family val="2"/>
          </rPr>
          <t>Customer defined USB vendor ID used during USB-ISP mode device enumeration.</t>
        </r>
      </text>
    </comment>
    <comment ref="Q153" authorId="0" shapeId="0" xr:uid="{2A15ACE3-32FF-4D90-A482-3E0C08EEE55E}">
      <text>
        <r>
          <rPr>
            <b/>
            <sz val="9"/>
            <color indexed="81"/>
            <rFont val="Tahoma"/>
            <family val="2"/>
          </rPr>
          <t xml:space="preserve">Enable Pre-divider.
</t>
        </r>
        <r>
          <rPr>
            <sz val="9"/>
            <color indexed="81"/>
            <rFont val="Tahoma"/>
            <family val="2"/>
          </rPr>
          <t>Needed to support 48MHz and other high speed crystals.
0: Disable
1: Enable</t>
        </r>
      </text>
    </comment>
    <comment ref="R153" authorId="0" shapeId="0" xr:uid="{B57FA3E0-A927-4603-A7AC-134FE34E114B}">
      <text>
        <r>
          <rPr>
            <sz val="12"/>
            <color theme="1"/>
            <rFont val="Calibri"/>
            <family val="2"/>
            <scheme val="minor"/>
          </rPr>
          <t xml:space="preserve">USB PHY input clock frequency.
For USB high speed PHY external XTAL input is needed. This field specifies the frequency of XTAL used on board.
• 000 - 24MHz input clock (Divide by 20)
• 001 - 30MHz input clock (Divide by 16)
• 010 - 32MHz input clock (Divide by 15)
• 011 - Reserved
• 100 - 20MHz input clock (Divide by 24)
• 101 - 19.2MHz input clock (Divide by 25)
• 110 - 16MHz input clock (Divide by 30) - Default option when CMPA is blank.
• 111 - 12MHz input clock (Divide by 40) 
</t>
        </r>
      </text>
    </comment>
    <comment ref="Y153" authorId="0" shapeId="0" xr:uid="{3CBA8DF1-FA05-4BF6-9174-EBC6C0DA5808}">
      <text>
        <r>
          <rPr>
            <sz val="12"/>
            <color theme="1"/>
            <rFont val="Calibri"/>
            <family val="2"/>
            <scheme val="minor"/>
          </rPr>
          <t>Identifies the ALT pin mux function to use for the pin selected by USBx_VBUS_PIN.</t>
        </r>
      </text>
    </comment>
    <comment ref="AC153" authorId="0" shapeId="0" xr:uid="{FE207764-5480-4BC1-AAFF-8E64CA8B6BBD}">
      <text>
        <r>
          <rPr>
            <sz val="12"/>
            <color theme="1"/>
            <rFont val="Calibri"/>
            <family val="2"/>
            <scheme val="minor"/>
          </rPr>
          <t xml:space="preserve">Override default USBx_VBUS_DETECT ISP pin.
Identifies the pin to be used as USBx_VBUS detect pin. 
[4:0] GPIO Pin number
[7:5] GPIO port number
 </t>
        </r>
      </text>
    </comment>
    <comment ref="E154" authorId="0" shapeId="0" xr:uid="{5AAF733E-B17E-4ECC-B671-8C2072737E38}">
      <text>
        <r>
          <rPr>
            <b/>
            <sz val="9"/>
            <color indexed="81"/>
            <rFont val="Tahoma"/>
            <family val="2"/>
          </rPr>
          <t xml:space="preserve">Use customer defined UART ISP pins.
</t>
        </r>
        <r>
          <rPr>
            <sz val="9"/>
            <color indexed="81"/>
            <rFont val="Tahoma"/>
            <family val="2"/>
          </rPr>
          <t>01: Customer defined.
00, 10, 11: Default ROM defined pins.</t>
        </r>
      </text>
    </comment>
    <comment ref="G154" authorId="0" shapeId="0" xr:uid="{709845A3-6BA4-4B7A-8DBD-6A733F74D103}">
      <text>
        <r>
          <rPr>
            <b/>
            <sz val="9"/>
            <color indexed="81"/>
            <rFont val="Tahoma"/>
            <family val="2"/>
          </rPr>
          <t xml:space="preserve">Use customer defined I2C ISP pins.
</t>
        </r>
        <r>
          <rPr>
            <sz val="9"/>
            <color indexed="81"/>
            <rFont val="Tahoma"/>
            <family val="2"/>
          </rPr>
          <t>01: Customer defined.
00, 10, 11: Default ROM defined pins.</t>
        </r>
      </text>
    </comment>
    <comment ref="I154" authorId="0" shapeId="0" xr:uid="{9E30FD54-77A5-4996-A938-67EC29680B83}">
      <text>
        <r>
          <rPr>
            <b/>
            <sz val="9"/>
            <color indexed="81"/>
            <rFont val="Tahoma"/>
            <family val="2"/>
          </rPr>
          <t xml:space="preserve">Use customer defined SPI ISP pins.
</t>
        </r>
        <r>
          <rPr>
            <sz val="9"/>
            <color indexed="81"/>
            <rFont val="Tahoma"/>
            <family val="2"/>
          </rPr>
          <t>01: Customer defined.
00, 10, 11: Default ROM defined pins.</t>
        </r>
      </text>
    </comment>
    <comment ref="K154" authorId="0" shapeId="0" xr:uid="{D53C6532-100F-437D-8CB0-BF70423561A3}">
      <text>
        <r>
          <rPr>
            <b/>
            <sz val="9"/>
            <color indexed="81"/>
            <rFont val="Tahoma"/>
            <family val="2"/>
          </rPr>
          <t xml:space="preserve">Use customer defined CAN ISP pins.
</t>
        </r>
        <r>
          <rPr>
            <sz val="9"/>
            <color indexed="81"/>
            <rFont val="Tahoma"/>
            <family val="2"/>
          </rPr>
          <t>01: Customer defined.
00, 10, 11: Default ROM defined pins.</t>
        </r>
      </text>
    </comment>
    <comment ref="M154" authorId="0" shapeId="0" xr:uid="{06E83369-12ED-4C59-B504-C7DC3F946D94}">
      <text>
        <r>
          <rPr>
            <b/>
            <sz val="9"/>
            <color indexed="81"/>
            <rFont val="Tahoma"/>
            <family val="2"/>
          </rPr>
          <t xml:space="preserve">Use customer defined GPIO for USB VBUS detect function during ISP mode.
</t>
        </r>
        <r>
          <rPr>
            <sz val="9"/>
            <color indexed="81"/>
            <rFont val="Tahoma"/>
            <family val="2"/>
          </rPr>
          <t>00: Use dedicated VBUS pins.</t>
        </r>
        <r>
          <rPr>
            <b/>
            <sz val="9"/>
            <color indexed="81"/>
            <rFont val="Tahoma"/>
            <family val="2"/>
          </rPr>
          <t xml:space="preserve">
</t>
        </r>
        <r>
          <rPr>
            <sz val="9"/>
            <color indexed="81"/>
            <rFont val="Tahoma"/>
            <family val="2"/>
          </rPr>
          <t>01: Customer defined GPIO for USB0_VBUS detect.
10: Customer defined GPIO for USB1_VBUS detect.
11: Use VDD_USB for VBUS presence. On board regulator should generate VDD_USB voltage using 5V input fo VBUS pin on connector.</t>
        </r>
      </text>
    </comment>
    <comment ref="AC154" authorId="2" shapeId="0" xr:uid="{C45DE60B-7483-403C-8134-E78CBE67B312}">
      <text>
        <r>
          <rPr>
            <sz val="12"/>
            <color theme="1"/>
            <rFont val="Calibri"/>
            <family val="2"/>
            <scheme val="minor"/>
          </rPr>
          <t>I2C slave address
A 7-bit Address used for selecting our device on shared I2C bus system.
By default  ROM uses 0x10 as slave address. If this address conflicts with another slave on board  customer could use this field to override the address.</t>
        </r>
      </text>
    </comment>
    <comment ref="U155" authorId="0" shapeId="0" xr:uid="{51934CF3-F63A-47C4-90D7-4BB910038340}">
      <text>
        <r>
          <rPr>
            <sz val="12"/>
            <color theme="1"/>
            <rFont val="Calibri"/>
            <family val="2"/>
            <scheme val="minor"/>
          </rPr>
          <t xml:space="preserve">Enforce UUID match during Debug authentication.
0 -  Debug certificate can be used with all devices.
1 - Debug certificate per device with matching UUID is needed. </t>
        </r>
      </text>
    </comment>
    <comment ref="Z155" authorId="0" shapeId="0" xr:uid="{0C1697EE-0716-46D7-9869-D80156C87222}">
      <text>
        <r>
          <rPr>
            <b/>
            <sz val="9"/>
            <color indexed="81"/>
            <rFont val="Tahoma"/>
            <family val="2"/>
          </rPr>
          <t>Second CM33 debug</t>
        </r>
        <r>
          <rPr>
            <sz val="9"/>
            <color indexed="81"/>
            <rFont val="Tahoma"/>
            <family val="2"/>
          </rPr>
          <t xml:space="preserve"> 
Fixed state
0 - Disabled
1 - Enabled</t>
        </r>
      </text>
    </comment>
    <comment ref="AA155" authorId="0" shapeId="0" xr:uid="{492733DC-D3FA-488D-887E-D845DCFE2C32}">
      <text>
        <r>
          <rPr>
            <b/>
            <sz val="9"/>
            <color indexed="81"/>
            <rFont val="Tahoma"/>
            <family val="2"/>
          </rPr>
          <t>Second CM33 debug</t>
        </r>
        <r>
          <rPr>
            <sz val="9"/>
            <color indexed="81"/>
            <rFont val="Tahoma"/>
            <family val="2"/>
          </rPr>
          <t xml:space="preserve"> enable
0 - Use DAP to enable
1 - Fixed state</t>
        </r>
      </text>
    </comment>
    <comment ref="AB155" authorId="0" shapeId="0" xr:uid="{C257AFBA-6085-4DD0-927C-DD72DA11FF29}">
      <text>
        <r>
          <rPr>
            <b/>
            <sz val="9"/>
            <color indexed="81"/>
            <rFont val="Tahoma"/>
            <family val="2"/>
          </rPr>
          <t>Flash Mass Erase cmd</t>
        </r>
        <r>
          <rPr>
            <sz val="9"/>
            <color indexed="81"/>
            <rFont val="Tahoma"/>
            <family val="2"/>
          </rPr>
          <t xml:space="preserve"> enable
0 - Use DAP to enable
1 - Fixed state</t>
        </r>
      </text>
    </comment>
    <comment ref="AC155" authorId="0" shapeId="0" xr:uid="{4E22CC39-39DF-446F-B10C-CAB6EA20ADDF}">
      <text>
        <r>
          <rPr>
            <b/>
            <sz val="9"/>
            <color indexed="81"/>
            <rFont val="Tahoma"/>
            <family val="2"/>
          </rPr>
          <t>FA cmd</t>
        </r>
        <r>
          <rPr>
            <sz val="9"/>
            <color indexed="81"/>
            <rFont val="Tahoma"/>
            <family val="2"/>
          </rPr>
          <t xml:space="preserve"> enable
0 - Use DAP to enable
1 - Fixed state</t>
        </r>
      </text>
    </comment>
    <comment ref="AD155" authorId="0" shapeId="0" xr:uid="{AD891248-C56F-43CD-B349-4E5D269B5971}">
      <text>
        <r>
          <rPr>
            <b/>
            <sz val="9"/>
            <color indexed="81"/>
            <rFont val="Tahoma"/>
            <family val="2"/>
          </rPr>
          <t>ISP boot command</t>
        </r>
        <r>
          <rPr>
            <sz val="9"/>
            <color indexed="81"/>
            <rFont val="Tahoma"/>
            <family val="2"/>
          </rPr>
          <t xml:space="preserve"> enable
0 - Use DAP to enable
1 - Fixed state</t>
        </r>
      </text>
    </comment>
    <comment ref="AE155" authorId="0" shapeId="0" xr:uid="{6F940481-9C03-44B2-9147-D56C49F85D27}">
      <text>
        <r>
          <rPr>
            <b/>
            <sz val="9"/>
            <color indexed="81"/>
            <rFont val="Tahoma"/>
            <family val="2"/>
          </rPr>
          <t>DSP debug</t>
        </r>
        <r>
          <rPr>
            <sz val="9"/>
            <color indexed="81"/>
            <rFont val="Tahoma"/>
            <family val="2"/>
          </rPr>
          <t xml:space="preserve"> enable
0 - Use DAP to enable
1 - Fixed state</t>
        </r>
      </text>
    </comment>
    <comment ref="AG155" authorId="0" shapeId="0" xr:uid="{EAD68FC6-C0A9-4A85-B618-2A5B8AC2B814}">
      <text>
        <r>
          <rPr>
            <b/>
            <sz val="9"/>
            <color indexed="81"/>
            <rFont val="Tahoma"/>
            <family val="2"/>
          </rPr>
          <t>Secure invasive debug</t>
        </r>
        <r>
          <rPr>
            <sz val="9"/>
            <color indexed="81"/>
            <rFont val="Tahoma"/>
            <family val="2"/>
          </rPr>
          <t xml:space="preserve"> enable
0 - Use DAP to enable
1 - Fixed state</t>
        </r>
      </text>
    </comment>
    <comment ref="AH155" authorId="0" shapeId="0" xr:uid="{5BCF5BA6-134F-4545-B2D5-2655AD657D11}">
      <text>
        <r>
          <rPr>
            <b/>
            <sz val="9"/>
            <color indexed="81"/>
            <rFont val="Tahoma"/>
            <family val="2"/>
          </rPr>
          <t>Secure non-invasive debug</t>
        </r>
        <r>
          <rPr>
            <sz val="9"/>
            <color indexed="81"/>
            <rFont val="Tahoma"/>
            <family val="2"/>
          </rPr>
          <t xml:space="preserve"> enable
0 - Use DAP to enable
1 - Fixed state</t>
        </r>
      </text>
    </comment>
    <comment ref="AI155" authorId="0" shapeId="0" xr:uid="{A137D0C2-869B-4805-BCF2-51DD975E85F9}">
      <text>
        <r>
          <rPr>
            <b/>
            <sz val="9"/>
            <color indexed="81"/>
            <rFont val="Tahoma"/>
            <family val="2"/>
          </rPr>
          <t>Non Secure debug</t>
        </r>
        <r>
          <rPr>
            <sz val="9"/>
            <color indexed="81"/>
            <rFont val="Tahoma"/>
            <family val="2"/>
          </rPr>
          <t xml:space="preserve"> enable
0 - Use DAP to enable
1 - Fixed state</t>
        </r>
      </text>
    </comment>
    <comment ref="AJ155" authorId="0" shapeId="0" xr:uid="{4CD41436-D749-4E37-9A53-137A6FD54C08}">
      <text>
        <r>
          <rPr>
            <b/>
            <sz val="9"/>
            <color indexed="81"/>
            <rFont val="Tahoma"/>
            <family val="2"/>
          </rPr>
          <t>Non Secure non-invasive debug</t>
        </r>
        <r>
          <rPr>
            <sz val="9"/>
            <color indexed="81"/>
            <rFont val="Tahoma"/>
            <family val="2"/>
          </rPr>
          <t xml:space="preserve"> enable
0 - Use DAP to enable
1 - Fixed state</t>
        </r>
      </text>
    </comment>
    <comment ref="Z156" authorId="0" shapeId="0" xr:uid="{A64631AC-88B1-4771-8947-BA185CD51C76}">
      <text>
        <r>
          <rPr>
            <b/>
            <sz val="9"/>
            <color indexed="81"/>
            <rFont val="Tahoma"/>
            <family val="2"/>
          </rPr>
          <t>Second CM33 debug</t>
        </r>
        <r>
          <rPr>
            <sz val="9"/>
            <color indexed="81"/>
            <rFont val="Tahoma"/>
            <family val="2"/>
          </rPr>
          <t xml:space="preserve"> 
Fixed state
0 - Disabled
1 - Enabled</t>
        </r>
      </text>
    </comment>
    <comment ref="AA156" authorId="0" shapeId="0" xr:uid="{00797E03-019F-47FE-9F41-A2DDA00297EB}">
      <text>
        <r>
          <rPr>
            <b/>
            <sz val="9"/>
            <color indexed="81"/>
            <rFont val="Tahoma"/>
            <family val="2"/>
          </rPr>
          <t>Second CM33 debug</t>
        </r>
        <r>
          <rPr>
            <sz val="9"/>
            <color indexed="81"/>
            <rFont val="Tahoma"/>
            <family val="2"/>
          </rPr>
          <t xml:space="preserve"> 
Fixed state
0 - Disabled
1 - Enabled</t>
        </r>
      </text>
    </comment>
    <comment ref="AB156" authorId="0" shapeId="0" xr:uid="{F113F020-007D-4D7C-BD25-C7D2688CFEC6}">
      <text>
        <r>
          <rPr>
            <b/>
            <sz val="9"/>
            <color indexed="81"/>
            <rFont val="Tahoma"/>
            <family val="2"/>
          </rPr>
          <t xml:space="preserve">Mass erase flash command </t>
        </r>
        <r>
          <rPr>
            <sz val="9"/>
            <color indexed="81"/>
            <rFont val="Tahoma"/>
            <family val="2"/>
          </rPr>
          <t>f</t>
        </r>
        <r>
          <rPr>
            <sz val="9"/>
            <color indexed="81"/>
            <rFont val="Tahoma"/>
            <family val="2"/>
          </rPr>
          <t>ixed state
0 - Disabled
1 - Enabled</t>
        </r>
      </text>
    </comment>
    <comment ref="AC156" authorId="0" shapeId="0" xr:uid="{26714F61-4B77-4B2E-AA9F-03E36F2CFD78}">
      <text>
        <r>
          <rPr>
            <sz val="9"/>
            <color indexed="81"/>
            <rFont val="Tahoma"/>
            <family val="2"/>
          </rPr>
          <t xml:space="preserve">Set </t>
        </r>
        <r>
          <rPr>
            <b/>
            <sz val="9"/>
            <color indexed="81"/>
            <rFont val="Tahoma"/>
            <family val="2"/>
          </rPr>
          <t>FA mode command</t>
        </r>
        <r>
          <rPr>
            <sz val="9"/>
            <color indexed="81"/>
            <rFont val="Tahoma"/>
            <family val="2"/>
          </rPr>
          <t xml:space="preserve"> Fixed state
0 - Disabled
1 - Enabled</t>
        </r>
      </text>
    </comment>
    <comment ref="AD156" authorId="0" shapeId="0" xr:uid="{163F29F3-FD4E-4A73-B4E4-C1CD7B457C80}">
      <text>
        <r>
          <rPr>
            <b/>
            <sz val="9"/>
            <color indexed="81"/>
            <rFont val="Tahoma"/>
            <family val="2"/>
          </rPr>
          <t xml:space="preserve">ISP command </t>
        </r>
        <r>
          <rPr>
            <sz val="9"/>
            <color indexed="81"/>
            <rFont val="Tahoma"/>
            <family val="2"/>
          </rPr>
          <t>Fixed state
0 - Disabled
1 - Enabled</t>
        </r>
      </text>
    </comment>
    <comment ref="AE156" authorId="0" shapeId="0" xr:uid="{EEE3C4C0-B102-4375-ABDC-3D494FF7F37D}">
      <text>
        <r>
          <rPr>
            <b/>
            <sz val="9"/>
            <color indexed="81"/>
            <rFont val="Tahoma"/>
            <family val="2"/>
          </rPr>
          <t>DSP debug</t>
        </r>
        <r>
          <rPr>
            <sz val="9"/>
            <color indexed="81"/>
            <rFont val="Tahoma"/>
            <family val="2"/>
          </rPr>
          <t xml:space="preserve"> 
Fixed state
0 - Disabled
1 - Enabled</t>
        </r>
      </text>
    </comment>
    <comment ref="AG156" authorId="0" shapeId="0" xr:uid="{FF85A923-B974-4A2D-A7F0-7810228388B2}">
      <text>
        <r>
          <rPr>
            <b/>
            <sz val="9"/>
            <color indexed="81"/>
            <rFont val="Tahoma"/>
            <family val="2"/>
          </rPr>
          <t>Secure invasive debug</t>
        </r>
        <r>
          <rPr>
            <sz val="9"/>
            <color indexed="81"/>
            <rFont val="Tahoma"/>
            <family val="2"/>
          </rPr>
          <t xml:space="preserve"> Fixed state
0 - Disabled
1 - Enabled</t>
        </r>
      </text>
    </comment>
    <comment ref="AH156" authorId="0" shapeId="0" xr:uid="{7D484D33-D282-423B-BBDE-0C5C36F41FBA}">
      <text>
        <r>
          <rPr>
            <b/>
            <sz val="9"/>
            <color indexed="81"/>
            <rFont val="Tahoma"/>
            <family val="2"/>
          </rPr>
          <t>Secure non-invasive debug</t>
        </r>
        <r>
          <rPr>
            <sz val="9"/>
            <color indexed="81"/>
            <rFont val="Tahoma"/>
            <family val="2"/>
          </rPr>
          <t xml:space="preserve"> Fixed state
0 - Disabled
1 - Enabled</t>
        </r>
      </text>
    </comment>
    <comment ref="AI156" authorId="0" shapeId="0" xr:uid="{BAC6024A-5017-4A1E-BBBA-F386B87A8F4B}">
      <text>
        <r>
          <rPr>
            <b/>
            <sz val="9"/>
            <color indexed="81"/>
            <rFont val="Tahoma"/>
            <family val="2"/>
          </rPr>
          <t>Non Secure debug</t>
        </r>
        <r>
          <rPr>
            <sz val="9"/>
            <color indexed="81"/>
            <rFont val="Tahoma"/>
            <family val="2"/>
          </rPr>
          <t xml:space="preserve"> Fixed state
0 - Disabled
1 - Enabled</t>
        </r>
      </text>
    </comment>
    <comment ref="AJ156" authorId="0" shapeId="0" xr:uid="{646C2E17-C1FA-4627-AEC6-5487F5E84CEE}">
      <text>
        <r>
          <rPr>
            <b/>
            <sz val="9"/>
            <color indexed="81"/>
            <rFont val="Tahoma"/>
            <family val="2"/>
          </rPr>
          <t>Non Secure non-invasive debug</t>
        </r>
        <r>
          <rPr>
            <sz val="9"/>
            <color indexed="81"/>
            <rFont val="Tahoma"/>
            <family val="2"/>
          </rPr>
          <t xml:space="preserve"> Fixed state
0 - Disabled
1 - Enabled</t>
        </r>
      </text>
    </comment>
    <comment ref="E157" authorId="0" shapeId="0" xr:uid="{7FE8C1DB-E6F5-4473-85DF-F9BE4822C5F1}">
      <text>
        <r>
          <rPr>
            <sz val="12"/>
            <color theme="1"/>
            <rFont val="Calibri"/>
            <family val="2"/>
            <scheme val="minor"/>
          </rPr>
          <t>Upper 16 bits of vendor usage field defined in DAP. Lower 16-bits come from customer field area (CFPA.DBG_REVOKE_VU).</t>
        </r>
      </text>
    </comment>
    <comment ref="G159" authorId="0" shapeId="0" xr:uid="{97010DC0-7570-45AC-A482-5F00024EF9DC}">
      <text>
        <r>
          <rPr>
            <sz val="12"/>
            <color theme="1"/>
            <rFont val="Calibri"/>
            <family val="2"/>
            <scheme val="minor"/>
          </rPr>
          <t xml:space="preserve">Enable self-test for PUF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I159" authorId="0" shapeId="0" xr:uid="{3F96B8DC-24C3-4573-A477-81801DEB785F}">
      <text>
        <r>
          <rPr>
            <sz val="12"/>
            <color theme="1"/>
            <rFont val="Calibri"/>
            <family val="2"/>
            <scheme val="minor"/>
          </rPr>
          <t xml:space="preserve">Enable self-test for KDF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K159" authorId="0" shapeId="0" xr:uid="{C0CE3349-19F1-4E6F-BAE8-575DD9334ACA}">
      <text>
        <r>
          <rPr>
            <sz val="12"/>
            <color theme="1"/>
            <rFont val="Calibri"/>
            <family val="2"/>
            <scheme val="minor"/>
          </rPr>
          <t xml:space="preserve">Enable self-test for CMAC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M159" authorId="0" shapeId="0" xr:uid="{44CE87E7-62BA-4A64-93E7-0C7D636B930A}">
      <text>
        <r>
          <rPr>
            <sz val="12"/>
            <color theme="1"/>
            <rFont val="Calibri"/>
            <family val="2"/>
            <scheme val="minor"/>
          </rPr>
          <t xml:space="preserve">Enable self-test for DRBG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O159" authorId="0" shapeId="0" xr:uid="{03C35B0B-E5A8-495E-8A24-6BEFC54E76EE}">
      <text>
        <r>
          <rPr>
            <sz val="12"/>
            <color theme="1"/>
            <rFont val="Calibri"/>
            <family val="2"/>
            <scheme val="minor"/>
          </rPr>
          <t xml:space="preserve">Enable self-test for ECDSA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Q159" authorId="0" shapeId="0" xr:uid="{F7CC14DB-6FE1-409C-8F03-8D37D5993758}">
      <text>
        <r>
          <rPr>
            <sz val="12"/>
            <color theme="1"/>
            <rFont val="Calibri"/>
            <family val="2"/>
            <scheme val="minor"/>
          </rPr>
          <t xml:space="preserve">Enable self-test for AES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S159" authorId="0" shapeId="0" xr:uid="{64A7C34D-B1A8-491A-BDD7-85DA56731CAE}">
      <text>
        <r>
          <rPr>
            <sz val="12"/>
            <color theme="1"/>
            <rFont val="Calibri"/>
            <family val="2"/>
            <scheme val="minor"/>
          </rPr>
          <t xml:space="preserve">Enable self-test for SHA2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U159" authorId="0" shapeId="0" xr:uid="{7D6BA52B-46DD-410F-B503-132A418DF40F}">
      <text>
        <r>
          <rPr>
            <sz val="12"/>
            <color theme="1"/>
            <rFont val="Calibri"/>
            <family val="2"/>
            <scheme val="minor"/>
          </rPr>
          <t xml:space="preserve">Protection of active image. 
This field defines protection of flash area occupied by the active image. Only applicable to internal flash.
00 - Protection is defined using the CFPA FLASH_ACL settings.
01 - Write protect active image area with sticky lock. GLBAC2 is used. FLASH_ACL settings are ignored.
10 - Write protect active image area without sticky lock. GLBAC4 is used. FLASH_ACL settings are ignored.
11 - XOM protect active image area with sticky lock. GLBAC6 is used. FLASH_ACL settings are ignored.
</t>
        </r>
      </text>
    </comment>
    <comment ref="W159" authorId="0" shapeId="0" xr:uid="{1E696C88-59E4-4DDD-9708-2C0087723FB9}">
      <text>
        <r>
          <rPr>
            <sz val="12"/>
            <color theme="1"/>
            <rFont val="Calibri"/>
            <family val="2"/>
            <scheme val="minor"/>
          </rPr>
          <t>RAM zeroize on ITRC event.
Zeroize long-term storage RAM (RAMA) on subsequent boot when Intrusion &amp; Tamper control signals an intrusion event (ITRC_OUT3).
2b'00 - No action.
2b'01 -  Always Zeroize PKC  RAM on ITRC event only.
2b'10 - Zeroize PKC &amp; RAMA on ITRC event only.
2b'11 - Always Zeroize PKC &amp; RAMA on all reset boot.
Note, when ITRC is re-configured in application then ITRC_OUT4 (CHIP_RESET) should be triggered with at least same events as ITRC_OUT3 (RAM_ZEROIZE) .</t>
        </r>
      </text>
    </comment>
    <comment ref="Y159" authorId="0" shapeId="0" xr:uid="{1DCF19F6-62D3-4D6A-85FD-5CFBBDD17121}">
      <text>
        <r>
          <rPr>
            <b/>
            <sz val="9"/>
            <color indexed="81"/>
            <rFont val="Tahoma"/>
            <family val="2"/>
          </rPr>
          <t xml:space="preserve">TrustZone-M mode.
</t>
        </r>
        <r>
          <rPr>
            <sz val="9"/>
            <color indexed="81"/>
            <rFont val="Tahoma"/>
            <family val="2"/>
          </rPr>
          <t>00  - Ignored.
01, 10, 11 - Enforce preset TZM data in image manifest.</t>
        </r>
      </text>
    </comment>
    <comment ref="AA159" authorId="0" shapeId="0" xr:uid="{5F34BE54-E678-4271-A3F4-A8F31B886E78}">
      <text>
        <r>
          <rPr>
            <sz val="12"/>
            <color theme="1"/>
            <rFont val="Calibri"/>
            <family val="2"/>
            <scheme val="minor"/>
          </rPr>
          <t xml:space="preserve">Enforce CNSA suite approved algorithms for secure boot, secure update and debug authentication.
00 - All algorithm allowed.
01, 10, 11 - Only ECC P-384 keys, SHA384 &amp; AES256 algorithms are used.
Note, CMAC image authentication is only allowed in 2b'00 setting.  
</t>
        </r>
      </text>
    </comment>
    <comment ref="AF159" authorId="0" shapeId="0" xr:uid="{385C6DAC-8CBB-44D1-8288-7CD12EEA7106}">
      <text>
        <r>
          <rPr>
            <sz val="12"/>
            <color theme="1"/>
            <rFont val="Calibri"/>
            <family val="2"/>
            <scheme val="minor"/>
          </rPr>
          <t xml:space="preserve">Secure boot option for low-power wake from power-down &amp; deep-powerdown.
For CFPA/CMPA do CRC check always.
00 - Same as cold boot
01 - CRC check for  CFPA/CMPA &amp; CRC32 check of active image
10 - CRC check for  CFPA/CMPA &amp; jump to vector address specified in CFPA.
11 - CRC check for  CFPA/CMPA &amp; CMAC check of active image
</t>
        </r>
      </text>
    </comment>
    <comment ref="AI159" authorId="0" shapeId="0" xr:uid="{5EF5C0FB-2F4C-4BEF-8FB3-E80917538193}">
      <text>
        <r>
          <rPr>
            <b/>
            <sz val="9"/>
            <color indexed="81"/>
            <rFont val="Tahoma"/>
            <family val="2"/>
          </rPr>
          <t xml:space="preserve">Secure boot enforcement. 
</t>
        </r>
        <r>
          <rPr>
            <sz val="9"/>
            <color indexed="81"/>
            <rFont val="Tahoma"/>
            <family val="2"/>
          </rPr>
          <t xml:space="preserve">This field defines the minimum image verification procedure (CRC32, CMAC, ECDSA sign).
The Image type field in header indicates the type of verification data (checksum or signature) included in it. 
00 - All Image types are allowed.
01 - Only CRC32 or signed (CMAC or ECDSA) images are allowed.
10 - Only Signed (CMAC or ECDSA) images are allowed.
11 - Only ECDSA signed images are allowed.
Plain &lt; CRC32 &lt; CMAC &lt; ECDSA
</t>
        </r>
      </text>
    </comment>
    <comment ref="E160" authorId="0" shapeId="0" xr:uid="{C4B97744-4A9E-464E-A62E-9A431C64AFEB}">
      <text>
        <r>
          <rPr>
            <sz val="12"/>
            <color theme="1"/>
            <rFont val="Calibri"/>
            <family val="2"/>
            <scheme val="minor"/>
          </rPr>
          <t>Lock on-chip flash NPX PRINCE context 3 settings.
00 - Region is not locked. 
01, 10, 11 - Region is locked.
Note: when locking a region recommendation is to also enable erase checking using the REGn_ERASE_CHECK_EN field.</t>
        </r>
      </text>
    </comment>
    <comment ref="G160" authorId="0" shapeId="0" xr:uid="{941A6878-46FD-4241-A6B1-3DC23B3F3614}">
      <text>
        <r>
          <rPr>
            <sz val="12"/>
            <color theme="1"/>
            <rFont val="Calibri"/>
            <family val="2"/>
            <scheme val="minor"/>
          </rPr>
          <t>Lock on-chip flash NPX PRINCE context 2 settings.
00 - Region is not locked. 
01, 10, 11 - Region is locked.
Note: when locking a region recommendation is to also enable erase checking using the REGn_ERASE_CHECK_EN field.</t>
        </r>
      </text>
    </comment>
    <comment ref="I160" authorId="0" shapeId="0" xr:uid="{F727DD0C-013A-4D32-A699-43515E2FC471}">
      <text>
        <r>
          <rPr>
            <sz val="12"/>
            <color theme="1"/>
            <rFont val="Calibri"/>
            <family val="2"/>
            <scheme val="minor"/>
          </rPr>
          <t>Lock on-chip flash NPX PRINCE context 1 settings.
00 - Region is not locked. 
01, 10, 11 - Region is locked.
Note: when locking a region recommendation is to also enable erase checking using the REGn_ERASE_CHECK_EN field.</t>
        </r>
      </text>
    </comment>
    <comment ref="K160" authorId="0" shapeId="0" xr:uid="{AA68B5AC-9E5B-4CF5-97DC-8D6441954BE4}">
      <text>
        <r>
          <rPr>
            <sz val="12"/>
            <color theme="1"/>
            <rFont val="Calibri"/>
            <family val="2"/>
            <scheme val="minor"/>
          </rPr>
          <t xml:space="preserve">Lock on-chip flash NPX PRINCE context 0 settings.
00 - Region is not locked. 
01, 10, 11 - Region is locked.
Note: when locking a region recommendation is to also enable erase checking using the REGn_ERASE_CHECK_EN field. </t>
        </r>
      </text>
    </comment>
    <comment ref="M160" authorId="1" shapeId="0" xr:uid="{02C03BEA-7587-4547-A933-556BDB258652}">
      <text>
        <r>
          <rPr>
            <sz val="12"/>
            <color theme="1"/>
            <rFont val="Calibri"/>
            <family val="2"/>
            <scheme val="minor"/>
          </rPr>
          <t xml:space="preserve">Enable erase check for NPX PRINCE context 3.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O160" authorId="1" shapeId="0" xr:uid="{810CC420-EE02-4469-8259-F0BB080BC5A6}">
      <text>
        <r>
          <rPr>
            <sz val="12"/>
            <color theme="1"/>
            <rFont val="Calibri"/>
            <family val="2"/>
            <scheme val="minor"/>
          </rPr>
          <t xml:space="preserve">Enable erase check for NPX PRINCE context 2.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Q160" authorId="1" shapeId="0" xr:uid="{14F46849-A1FD-49E4-A0A6-9248F03EF057}">
      <text>
        <r>
          <rPr>
            <sz val="12"/>
            <color theme="1"/>
            <rFont val="Calibri"/>
            <family val="2"/>
            <scheme val="minor"/>
          </rPr>
          <t xml:space="preserve">Enable erase check for NPX PRINCE context 2.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S160" authorId="1" shapeId="0" xr:uid="{F7E10A75-C3DE-4AEA-8BF1-F3F08586EBBD}">
      <text>
        <r>
          <rPr>
            <sz val="12"/>
            <color theme="1"/>
            <rFont val="Calibri"/>
            <family val="2"/>
            <scheme val="minor"/>
          </rPr>
          <t xml:space="preserve">Enable erase check for NPX PRINCE context 0.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V160" authorId="0" shapeId="0" xr:uid="{1BC32C54-778B-4BC2-9566-4A8FB24DA312}">
      <text>
        <r>
          <rPr>
            <sz val="9"/>
            <color indexed="81"/>
            <rFont val="Tahoma"/>
            <family val="2"/>
          </rPr>
          <t>Include data from CMPA page (512 bytes) in DICE computation.
0 - not included
1 - included</t>
        </r>
      </text>
    </comment>
    <comment ref="W160" authorId="0" shapeId="0" xr:uid="{6F63DBE9-EA06-4B3A-9571-42BF249E6F0D}">
      <text>
        <r>
          <rPr>
            <sz val="9"/>
            <color indexed="81"/>
            <rFont val="Tahoma"/>
            <family val="2"/>
          </rPr>
          <t>Include NXP area (IFR1) containing specific part configuration data defined during chip manufacturing process in DICE computation.
0 - not included
1 - included</t>
        </r>
      </text>
    </comment>
    <comment ref="X160" authorId="0" shapeId="0" xr:uid="{731F86B4-3F0A-4C77-9AB7-B8D30D5D2C10}">
      <text>
        <r>
          <rPr>
            <sz val="9"/>
            <color indexed="81"/>
            <rFont val="Tahoma"/>
            <family val="2"/>
          </rPr>
          <t>Skip DICE computation.
0 - Enable DICE
1 - Disable DICE</t>
        </r>
      </text>
    </comment>
    <comment ref="Y160" authorId="0" shapeId="0" xr:uid="{25A526FE-16CC-4CE1-A634-7377D5447960}">
      <text>
        <r>
          <rPr>
            <sz val="12"/>
            <color theme="1"/>
            <rFont val="Calibri"/>
            <family val="2"/>
            <scheme val="minor"/>
          </rPr>
          <t>RoT key 3 usage properties.
000 - Usable as debug CA, image CA, FW CA, image and FW key.
001 - Usable as debug CA only.
010 - Usable as image (boot &amp; FW) CA only.
011 - Usable as debug, boot &amp; FW image CA.
100 - Usable as image key &amp; FW update key only.
101 - Usable as boot image key only.
110 - Usable as FW update image  key only.
111 - Key slot is not used.</t>
        </r>
      </text>
    </comment>
    <comment ref="AB160" authorId="0" shapeId="0" xr:uid="{F2A0BFD2-87E9-408B-95D8-8ADDD3522D55}">
      <text>
        <r>
          <rPr>
            <sz val="12"/>
            <color theme="1"/>
            <rFont val="Calibri"/>
            <family val="2"/>
            <scheme val="minor"/>
          </rPr>
          <t xml:space="preserve">RoT key 2 usage properties.
000 - Usable as debug CA, image CA, FW CA, image and FW key.
001 - Usable as debug CA only.
010 - Usable as image (boot &amp; FW) CA only.
011 - Usable as debug, boot &amp; FW image CA.
100 - Usable as image key &amp; FW update key only.
101 - Usable as boot image key only.
110 - Usable as FW update image  key only.
111 - Key slot is not used.
</t>
        </r>
      </text>
    </comment>
    <comment ref="AE160" authorId="0" shapeId="0" xr:uid="{3E5C9016-BFE6-48A6-96C5-14A583EB1E0C}">
      <text>
        <r>
          <rPr>
            <sz val="12"/>
            <color theme="1"/>
            <rFont val="Calibri"/>
            <family val="2"/>
            <scheme val="minor"/>
          </rPr>
          <t>RoT key 1 usage properties.
000 - Usable as debug CA, image CA, FW CA, image and FW key.
001 - Usable as debug CA only.
010 - Usable as image (boot &amp; FW) CA only.
011 - Usable as debug, boot &amp; FW image CA.
100 - Usable as image key &amp; FW update key only.
101 - Usable as boot image key only.
110 - Usable as FW update image  key only.
111 - Key slot is not used.</t>
        </r>
      </text>
    </comment>
    <comment ref="AH160" authorId="0" shapeId="0" xr:uid="{5DD12626-0EC5-46DF-AA65-1FEEB9889C0E}">
      <text>
        <r>
          <rPr>
            <sz val="12"/>
            <color theme="1"/>
            <rFont val="Calibri"/>
            <family val="2"/>
            <scheme val="minor"/>
          </rPr>
          <t>RoT key 0 usage properties.
000 - Usable as debug CA, image CA, FW CA, image and FW key.
001 - Usable as debug CA only.
010 - Usable as image (boot &amp; FW) CA only.
011 - Usable as debug, boot &amp; FW image CA.
100 - Usable as image key &amp; FW update key only.
101 - Usable as boot image key only.
110 - Usable as FW update image  key only.
111 - Key slot is not used.</t>
        </r>
      </text>
    </comment>
    <comment ref="E163" authorId="0" shapeId="0" xr:uid="{710007A4-5B1B-4342-AD1E-CF3ADB1C0A2E}">
      <text>
        <r>
          <rPr>
            <sz val="9"/>
            <color indexed="81"/>
            <rFont val="Tahoma"/>
            <family val="2"/>
          </rPr>
          <t>Root of Trust Key Hash is SHA256 or SHA384 of RoTKpublic. Hash algorithm is selected based on RoTK EC type (secp256r1 -&gt; SHA256 or secp384r1 -&gt; SHA384). Same RoTKs and RoTKTH values are shared between debug authentication, SB3.1 firmware updates container and signed boot image based on CMPA.RoTKx_Usage .</t>
        </r>
      </text>
    </comment>
    <comment ref="E175" authorId="0" shapeId="0" xr:uid="{EDFA960A-ADD2-4E0F-B413-97C5395DA9A8}">
      <text>
        <r>
          <rPr>
            <sz val="12"/>
            <color theme="1"/>
            <rFont val="Calibri"/>
            <family val="2"/>
            <scheme val="minor"/>
          </rPr>
          <t xml:space="preserve">ROM copies this value to NPX-&gt;VMAPCTX0_WD0 register during flash initialization. This bitmask indicates which 32KB block is encrypted/decrypted using CTX0 key &amp; IV. 
</t>
        </r>
      </text>
    </comment>
    <comment ref="E176" authorId="0" shapeId="0" xr:uid="{005349B8-8D6C-46F5-929C-D9058FA45D9E}">
      <text>
        <r>
          <rPr>
            <sz val="12"/>
            <color theme="1"/>
            <rFont val="Calibri"/>
            <family val="2"/>
            <scheme val="minor"/>
          </rPr>
          <t xml:space="preserve">ROM copies this value to NPX-&gt;VMAPCTX0_WD1 register during flash initialization. This bitmask indicates which 32KB block is encrypted/decrypted using CTX0 key &amp; IV. </t>
        </r>
      </text>
    </comment>
    <comment ref="E177" authorId="0" shapeId="0" xr:uid="{219362F6-31F8-4B1B-AC27-D74E20D2F28A}">
      <text>
        <r>
          <rPr>
            <sz val="12"/>
            <color theme="1"/>
            <rFont val="Calibri"/>
            <family val="2"/>
            <scheme val="minor"/>
          </rPr>
          <t xml:space="preserve">ROM copies this value to NPX-&gt;VMAPCTX1_WD0 register during flash initialization. This bitmask indicates which 32KB block is encrypted/decrypted using CTX1 key &amp; IV. </t>
        </r>
      </text>
    </comment>
    <comment ref="E178" authorId="0" shapeId="0" xr:uid="{C7AA8684-C12F-4B93-A7C8-3236A8E37640}">
      <text>
        <r>
          <rPr>
            <sz val="12"/>
            <color theme="1"/>
            <rFont val="Calibri"/>
            <family val="2"/>
            <scheme val="minor"/>
          </rPr>
          <t xml:space="preserve">ROM copies this value to NPX-&gt;VMAPCTX1_WD1 register during flash initialization. This bitmask indicates which 32KB block is encrypted/decrypted using CTX1 key &amp; IV. </t>
        </r>
      </text>
    </comment>
    <comment ref="E179" authorId="0" shapeId="0" xr:uid="{F23B46F6-EA14-4BF7-81A1-CE739C2BFFED}">
      <text>
        <r>
          <rPr>
            <sz val="12"/>
            <color theme="1"/>
            <rFont val="Calibri"/>
            <family val="2"/>
            <scheme val="minor"/>
          </rPr>
          <t xml:space="preserve">ROM copies this value to NPX-&gt;VMAPCTX2_WD0 register during flash initialization. This bitmask indicates which 32KB block is encrypted/decrypted using CTX2 key &amp; IV. </t>
        </r>
      </text>
    </comment>
    <comment ref="E180" authorId="0" shapeId="0" xr:uid="{B9F8D5EC-4A12-47F8-8E69-6B584A889634}">
      <text>
        <r>
          <rPr>
            <sz val="12"/>
            <color theme="1"/>
            <rFont val="Calibri"/>
            <family val="2"/>
            <scheme val="minor"/>
          </rPr>
          <t xml:space="preserve">ROM copies this value to NPX-&gt;VMAPCTX2_WD1 register during flash initialization. This bitmask indicates which 32KB block is encrypted/decrypted using CTX2 key &amp; IV. </t>
        </r>
      </text>
    </comment>
    <comment ref="E181" authorId="0" shapeId="0" xr:uid="{415A9D5A-2379-427D-9E88-B782B0C7FADF}">
      <text>
        <r>
          <rPr>
            <sz val="12"/>
            <color theme="1"/>
            <rFont val="Calibri"/>
            <family val="2"/>
            <scheme val="minor"/>
          </rPr>
          <t xml:space="preserve">ROM copies this value to NPX-&gt;VMAPCTX3_WD0 register during flash initialization. This bitmask indicates which 32KB block is encrypted/decrypted using CTX3 key &amp; IV. </t>
        </r>
      </text>
    </comment>
    <comment ref="E182" authorId="0" shapeId="0" xr:uid="{0378FBDC-1534-49D4-A372-1AA3F51A9EE0}">
      <text>
        <r>
          <rPr>
            <sz val="12"/>
            <color theme="1"/>
            <rFont val="Calibri"/>
            <family val="2"/>
            <scheme val="minor"/>
          </rPr>
          <t xml:space="preserve">ROM copies this value to NPX-&gt;VMAPCTX3_WD1 register during flash initialization. This bitmask indicates which 32KB block is encrypted/decrypted using CTX3 key &amp; IV. </t>
        </r>
      </text>
    </comment>
    <comment ref="E183" authorId="1" shapeId="0" xr:uid="{9F04C274-A1F7-4931-8FAF-4D8BF216F18B}">
      <text>
        <r>
          <rPr>
            <sz val="12"/>
            <color theme="1"/>
            <rFont val="Calibri"/>
            <family val="2"/>
            <scheme val="minor"/>
          </rPr>
          <t>Upper 24-bits of IPED region 0 start address. Lower 8 address bits are always 0.</t>
        </r>
      </text>
    </comment>
    <comment ref="AI183" authorId="0" shapeId="0" xr:uid="{08640488-27AC-4D3A-B349-037858D2BA92}">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3" authorId="0" shapeId="0" xr:uid="{22D8D97C-D628-4BE0-8E6C-15FBCE72AAA9}">
      <text>
        <r>
          <rPr>
            <sz val="9"/>
            <color indexed="81"/>
            <rFont val="Tahoma"/>
            <family val="2"/>
          </rPr>
          <t xml:space="preserve">GCM mode enable.
0 -  Region is enabled in CTR mode. 
1 - Region is enabled in GCM mode. 
</t>
        </r>
      </text>
    </comment>
    <comment ref="E184" authorId="1" shapeId="0" xr:uid="{C74A395C-DD93-45EE-949B-B7DCEE6E839F}">
      <text>
        <r>
          <rPr>
            <sz val="12"/>
            <color theme="1"/>
            <rFont val="Calibri"/>
            <family val="2"/>
            <scheme val="minor"/>
          </rPr>
          <t>Upper 24-bits of IPED region 0 end address. Lower 8 address bits are always 0.</t>
        </r>
      </text>
    </comment>
    <comment ref="AI184" authorId="0" shapeId="0" xr:uid="{D2147336-AE71-40DE-A02D-1E570EBEAE80}">
      <text>
        <r>
          <rPr>
            <sz val="12"/>
            <color theme="1"/>
            <rFont val="Calibri"/>
            <family val="2"/>
            <scheme val="minor"/>
          </rPr>
          <t xml:space="preserve">Lock the IPED context settings.
00 - Region is not locked. 
01, 10, 11 - Region is locked. 
</t>
        </r>
      </text>
    </comment>
    <comment ref="E185" authorId="1" shapeId="0" xr:uid="{D7EADFF2-D20B-449E-A59A-765C25C24489}">
      <text>
        <r>
          <rPr>
            <sz val="12"/>
            <color theme="1"/>
            <rFont val="Calibri"/>
            <family val="2"/>
            <scheme val="minor"/>
          </rPr>
          <t>Upper 24-bits of IPED region 1 start address. Lower 8 address bits are always 0.</t>
        </r>
      </text>
    </comment>
    <comment ref="AI185" authorId="0" shapeId="0" xr:uid="{74FF311C-0FD5-46A5-A522-017C15B74125}">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5" authorId="0" shapeId="0" xr:uid="{A24E3E93-22D7-4CCC-A9AD-653C46A6E50A}">
      <text>
        <r>
          <rPr>
            <sz val="9"/>
            <color indexed="81"/>
            <rFont val="Tahoma"/>
            <family val="2"/>
          </rPr>
          <t xml:space="preserve">GCM mode enable.
0 -  Region is enabled in CTR mode. 
1 - Region is enabled in GCM mode. 
</t>
        </r>
      </text>
    </comment>
    <comment ref="E186" authorId="1" shapeId="0" xr:uid="{86D307A8-AB63-4124-AFC3-E3BA425E9385}">
      <text>
        <r>
          <rPr>
            <sz val="12"/>
            <color theme="1"/>
            <rFont val="Calibri"/>
            <family val="2"/>
            <scheme val="minor"/>
          </rPr>
          <t>Upper 24-bits of IPED region 1 end address. Lower 8 address bits are always 0.</t>
        </r>
      </text>
    </comment>
    <comment ref="AI186" authorId="0" shapeId="0" xr:uid="{9D03569F-7B78-4826-8944-421ADBB10601}">
      <text>
        <r>
          <rPr>
            <sz val="12"/>
            <color theme="1"/>
            <rFont val="Calibri"/>
            <family val="2"/>
            <scheme val="minor"/>
          </rPr>
          <t xml:space="preserve">Lock the IPED context settings.
00 - Region is not locked. 
01, 10, 11 - Region is locked. 
</t>
        </r>
      </text>
    </comment>
    <comment ref="E187" authorId="1" shapeId="0" xr:uid="{0F32291E-4ED5-4ECF-BCBA-E8B8B9906F62}">
      <text>
        <r>
          <rPr>
            <sz val="12"/>
            <color theme="1"/>
            <rFont val="Calibri"/>
            <family val="2"/>
            <scheme val="minor"/>
          </rPr>
          <t>Upper 24-bits of IPED region 2 start address. Lower 8 address bits are always 0.</t>
        </r>
      </text>
    </comment>
    <comment ref="AI187" authorId="0" shapeId="0" xr:uid="{88510F9A-24CE-4BC8-BC9D-E94D406F4678}">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7" authorId="0" shapeId="0" xr:uid="{BABAD9B1-FB17-4D85-B6A7-CB3521990EED}">
      <text>
        <r>
          <rPr>
            <sz val="9"/>
            <color indexed="81"/>
            <rFont val="Tahoma"/>
            <family val="2"/>
          </rPr>
          <t xml:space="preserve">GCM mode enable.
0 -  Region is enabled in CTR mode. 
1 - Region is enabled in GCM mode. 
</t>
        </r>
      </text>
    </comment>
    <comment ref="E188" authorId="1" shapeId="0" xr:uid="{1702C52E-DB72-4246-BBD1-EE58363BF85A}">
      <text>
        <r>
          <rPr>
            <sz val="12"/>
            <color theme="1"/>
            <rFont val="Calibri"/>
            <family val="2"/>
            <scheme val="minor"/>
          </rPr>
          <t>Upper 24-bits of IPED region 2 end address. Lower 8 address bits are always 0.</t>
        </r>
      </text>
    </comment>
    <comment ref="AI188" authorId="0" shapeId="0" xr:uid="{FFE3A2A4-E7DC-4E4C-87E1-8D17AE175B5F}">
      <text>
        <r>
          <rPr>
            <sz val="12"/>
            <color theme="1"/>
            <rFont val="Calibri"/>
            <family val="2"/>
            <scheme val="minor"/>
          </rPr>
          <t xml:space="preserve">Lock the IPED context settings.
00 - Region is not locked. 
01, 10, 11 - Region is locked. 
</t>
        </r>
      </text>
    </comment>
    <comment ref="E189" authorId="1" shapeId="0" xr:uid="{A90D993F-73DA-4013-97A6-EF6FA7B5FC48}">
      <text>
        <r>
          <rPr>
            <sz val="12"/>
            <color theme="1"/>
            <rFont val="Calibri"/>
            <family val="2"/>
            <scheme val="minor"/>
          </rPr>
          <t>Upper 24-bits of IPED region 3 start address. Lower 8 address bits are always 0.</t>
        </r>
      </text>
    </comment>
    <comment ref="AI189" authorId="0" shapeId="0" xr:uid="{1BC92988-0914-4848-8A21-E44DBA626D4E}">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9" authorId="0" shapeId="0" xr:uid="{F5F78988-E81B-4D78-8A28-239212D424B7}">
      <text>
        <r>
          <rPr>
            <sz val="9"/>
            <color indexed="81"/>
            <rFont val="Tahoma"/>
            <family val="2"/>
          </rPr>
          <t xml:space="preserve">GCM mode enable.
0 -  Region is enabled in CTR mode. 
1 - Region is enabled in GCM mode. 
</t>
        </r>
      </text>
    </comment>
    <comment ref="E190" authorId="1" shapeId="0" xr:uid="{86006A4F-BBAD-4F26-96E6-D52E918B30CA}">
      <text>
        <r>
          <rPr>
            <sz val="12"/>
            <color theme="1"/>
            <rFont val="Calibri"/>
            <family val="2"/>
            <scheme val="minor"/>
          </rPr>
          <t>Upper 24-bits of IPED region 3 end address. Lower 8 address bits are always 0.</t>
        </r>
      </text>
    </comment>
    <comment ref="AI190" authorId="0" shapeId="0" xr:uid="{99EEA88D-7D7A-4DA9-8899-0C7A8E031AAB}">
      <text>
        <r>
          <rPr>
            <sz val="12"/>
            <color theme="1"/>
            <rFont val="Calibri"/>
            <family val="2"/>
            <scheme val="minor"/>
          </rPr>
          <t xml:space="preserve">Lock the IPED context settings.
00 - Region is not locked. 
01, 10, 11 - Region is locked. 
</t>
        </r>
      </text>
    </comment>
    <comment ref="E191" authorId="1" shapeId="0" xr:uid="{8E59D75B-4F3D-411C-913D-FF2E8F014539}">
      <text>
        <r>
          <rPr>
            <sz val="12"/>
            <color theme="1"/>
            <rFont val="Calibri"/>
            <family val="2"/>
            <scheme val="minor"/>
          </rPr>
          <t>Upper 24-bits of IPED region 4 start address. Lower 8 address bits are always 0.</t>
        </r>
      </text>
    </comment>
    <comment ref="AI191" authorId="0" shapeId="0" xr:uid="{64A9BFFA-24AD-41E7-A518-FD52B17C9A94}">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1" authorId="0" shapeId="0" xr:uid="{C03CB7EA-52D4-456D-8AB0-12828FA39035}">
      <text>
        <r>
          <rPr>
            <sz val="9"/>
            <color indexed="81"/>
            <rFont val="Tahoma"/>
            <family val="2"/>
          </rPr>
          <t xml:space="preserve">GCM mode enable.
0 -  Region is enabled in CTR mode. 
1 - Region is enabled in GCM mode. 
</t>
        </r>
      </text>
    </comment>
    <comment ref="E192" authorId="1" shapeId="0" xr:uid="{70096E3D-EB30-4739-B1BE-B32B7A6F0050}">
      <text>
        <r>
          <rPr>
            <sz val="12"/>
            <color theme="1"/>
            <rFont val="Calibri"/>
            <family val="2"/>
            <scheme val="minor"/>
          </rPr>
          <t>Upper 24-bits of IPED region 4 end address. Lower 8 address bits are always 0.</t>
        </r>
      </text>
    </comment>
    <comment ref="AI192" authorId="0" shapeId="0" xr:uid="{048403B3-5147-49AF-9A89-C34CFD716BE3}">
      <text>
        <r>
          <rPr>
            <sz val="12"/>
            <color theme="1"/>
            <rFont val="Calibri"/>
            <family val="2"/>
            <scheme val="minor"/>
          </rPr>
          <t xml:space="preserve">Lock the IPED context settings.
00 - Region is not locked. 
01, 10, 11 - Region is locked. 
</t>
        </r>
      </text>
    </comment>
    <comment ref="E193" authorId="1" shapeId="0" xr:uid="{2FF045B1-39CB-49AA-9F16-F25A6E41E9B7}">
      <text>
        <r>
          <rPr>
            <sz val="12"/>
            <color theme="1"/>
            <rFont val="Calibri"/>
            <family val="2"/>
            <scheme val="minor"/>
          </rPr>
          <t>Upper 24-bits of IPED region 5 start address. Lower 8 address bits are always 0.</t>
        </r>
      </text>
    </comment>
    <comment ref="AI193" authorId="0" shapeId="0" xr:uid="{F1062332-477B-4448-AC58-662CEC521010}">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3" authorId="0" shapeId="0" xr:uid="{D9A684B9-29D1-4720-942D-A310A4BBB668}">
      <text>
        <r>
          <rPr>
            <sz val="9"/>
            <color indexed="81"/>
            <rFont val="Tahoma"/>
            <family val="2"/>
          </rPr>
          <t xml:space="preserve">GCM mode enable.
0 -  Region is enabled in CTR mode. 
1 - Region is enabled in GCM mode. 
</t>
        </r>
      </text>
    </comment>
    <comment ref="E194" authorId="1" shapeId="0" xr:uid="{3A704501-0755-4A80-ACA8-DA8AA05792B8}">
      <text>
        <r>
          <rPr>
            <sz val="12"/>
            <color theme="1"/>
            <rFont val="Calibri"/>
            <family val="2"/>
            <scheme val="minor"/>
          </rPr>
          <t>Upper 24-bits of IPED region 5 end address. Lower 8 address bits are always 0.</t>
        </r>
      </text>
    </comment>
    <comment ref="AI194" authorId="0" shapeId="0" xr:uid="{6CF24303-FB7D-4A78-8C04-515B5F96F8B7}">
      <text>
        <r>
          <rPr>
            <sz val="12"/>
            <color theme="1"/>
            <rFont val="Calibri"/>
            <family val="2"/>
            <scheme val="minor"/>
          </rPr>
          <t xml:space="preserve">Lock the IPED context settings.
00 - Region is not locked. 
01, 10, 11 - Region is locked. 
</t>
        </r>
      </text>
    </comment>
    <comment ref="E195" authorId="1" shapeId="0" xr:uid="{BE1A597D-C7E4-40CE-A6DC-BB9CFBD9A728}">
      <text>
        <r>
          <rPr>
            <sz val="12"/>
            <color theme="1"/>
            <rFont val="Calibri"/>
            <family val="2"/>
            <scheme val="minor"/>
          </rPr>
          <t>Upper 24-bits of IPED region 6 start address. Lower 8 address bits are always 0.</t>
        </r>
      </text>
    </comment>
    <comment ref="AI195" authorId="0" shapeId="0" xr:uid="{925C3C82-E8E0-4DEB-8292-ACC4F491B2E6}">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5" authorId="0" shapeId="0" xr:uid="{0A25E40E-3DE1-44E5-A6A4-CA00CF5C1A2D}">
      <text>
        <r>
          <rPr>
            <sz val="9"/>
            <color indexed="81"/>
            <rFont val="Tahoma"/>
            <family val="2"/>
          </rPr>
          <t xml:space="preserve">GCM mode enable.
0 -  Region is enabled in CTR mode. 
1 - Region is enabled in GCM mode. 
</t>
        </r>
      </text>
    </comment>
    <comment ref="E196" authorId="1" shapeId="0" xr:uid="{C660AC7A-8634-4B77-927D-4370913A0514}">
      <text>
        <r>
          <rPr>
            <sz val="12"/>
            <color theme="1"/>
            <rFont val="Calibri"/>
            <family val="2"/>
            <scheme val="minor"/>
          </rPr>
          <t>Upper 24-bits of IPED region 6 end address. Lower 8 address bits are always 0.</t>
        </r>
      </text>
    </comment>
    <comment ref="AI196" authorId="0" shapeId="0" xr:uid="{2D3D225D-119D-43BA-883D-B978E20781FB}">
      <text>
        <r>
          <rPr>
            <sz val="12"/>
            <color theme="1"/>
            <rFont val="Calibri"/>
            <family val="2"/>
            <scheme val="minor"/>
          </rPr>
          <t xml:space="preserve">Lock the IPED context settings.
00 - Region is not locked. 
01, 10, 11 - Region is locked. 
</t>
        </r>
      </text>
    </comment>
    <comment ref="E197" authorId="1" shapeId="0" xr:uid="{A4839967-62E1-407A-AFC4-D6E89BC12C22}">
      <text>
        <r>
          <rPr>
            <sz val="12"/>
            <color theme="1"/>
            <rFont val="Calibri"/>
            <family val="2"/>
            <scheme val="minor"/>
          </rPr>
          <t>Upper 24-bits of IPED region 7 start address. Lower 8 address bits are always 0.</t>
        </r>
      </text>
    </comment>
    <comment ref="AI197" authorId="0" shapeId="0" xr:uid="{13D1A10A-9D45-4F92-A3B0-3FCD6F049254}">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7" authorId="0" shapeId="0" xr:uid="{893A600B-1B45-41DE-B756-E3727952A968}">
      <text>
        <r>
          <rPr>
            <sz val="9"/>
            <color indexed="81"/>
            <rFont val="Tahoma"/>
            <family val="2"/>
          </rPr>
          <t xml:space="preserve">GCM mode enable.
0 -  Region is enabled in CTR mode. 
1 - Region is enabled in GCM mode. 
</t>
        </r>
      </text>
    </comment>
    <comment ref="E198" authorId="1" shapeId="0" xr:uid="{E1E01ACD-9C3A-4FCB-B78C-D0F8F14F0891}">
      <text>
        <r>
          <rPr>
            <sz val="12"/>
            <color theme="1"/>
            <rFont val="Calibri"/>
            <family val="2"/>
            <scheme val="minor"/>
          </rPr>
          <t>Upper 24-bits of IPED region 7 end address. Lower 8 address bits are always 0.</t>
        </r>
      </text>
    </comment>
    <comment ref="AI198" authorId="0" shapeId="0" xr:uid="{29106115-0F3F-4D2C-8C4A-AF59B4A6AA5C}">
      <text>
        <r>
          <rPr>
            <sz val="12"/>
            <color theme="1"/>
            <rFont val="Calibri"/>
            <family val="2"/>
            <scheme val="minor"/>
          </rPr>
          <t xml:space="preserve">Lock the IPED context settings.
00 - Region is not locked. 
01, 10, 11 - Region is locked. 
</t>
        </r>
      </text>
    </comment>
    <comment ref="E199" authorId="0" shapeId="0" xr:uid="{99C2485D-0104-487C-8B31-3B8C03C3800B}">
      <text>
        <r>
          <rPr>
            <sz val="12"/>
            <color theme="1"/>
            <rFont val="Calibri"/>
            <family val="2"/>
            <scheme val="minor"/>
          </rPr>
          <t xml:space="preserve">Bitmap mask to indicate sectors included in recovery image.
Recovery image is programmed in BANK1_IFR0. But if the image size is more than 32KB, this field can be used to indicate sectors to include in recovery image.
ROM will configure flash protection setting for these sectors the same as BANK1_IFR0 before exiting to user code. The protection settings are managed through CMPA.OEM_BANK1_IFR0_PROT. The lower 8 sectors are excluded from this mask to avoid conflicts with dual image boot feature.
</t>
        </r>
      </text>
    </comment>
    <comment ref="E211" authorId="0" shapeId="0" xr:uid="{DE34E014-470F-465C-8B16-2029361CFD13}">
      <text>
        <r>
          <rPr>
            <b/>
            <sz val="9"/>
            <color indexed="81"/>
            <rFont val="Tahoma"/>
            <family val="2"/>
          </rPr>
          <t xml:space="preserve">Drive GPIO 0 port pins high after reset.
</t>
        </r>
        <r>
          <rPr>
            <sz val="9"/>
            <color indexed="81"/>
            <rFont val="Tahoma"/>
            <family val="2"/>
          </rPr>
          <t xml:space="preserve">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QUICK_SET_GPIO_x and QUICK_CLR_GPIO_x fields then pin will be set to high-level with quick transition to low.
</t>
        </r>
      </text>
    </comment>
    <comment ref="E212" authorId="0" shapeId="0" xr:uid="{ED6939F6-526C-4ECD-87DB-9546EA581AAB}">
      <text>
        <r>
          <rPr>
            <b/>
            <sz val="9"/>
            <color indexed="81"/>
            <rFont val="Tahoma"/>
            <family val="2"/>
          </rPr>
          <t xml:space="preserve">Drive GPIO 0 port pins low.
</t>
        </r>
        <r>
          <rPr>
            <sz val="9"/>
            <color indexed="81"/>
            <rFont val="Tahoma"/>
            <family val="2"/>
          </rPr>
          <t>See description of QUICK_SET_GPIO_0 field.
Note, if a pin is selected in both QUICK_SET_GPIO_x and QUICK_CLR_GPIO_x fields then pin will be set to high-level with quick transition to low.</t>
        </r>
      </text>
    </comment>
    <comment ref="E213" authorId="0" shapeId="0" xr:uid="{E4B7A34D-EAE4-4E65-BFA0-68E2BC07D5B4}">
      <text>
        <r>
          <rPr>
            <b/>
            <sz val="9"/>
            <color indexed="81"/>
            <rFont val="Tahoma"/>
            <family val="2"/>
          </rPr>
          <t xml:space="preserve">Drive GPIO 1 port pins high.
</t>
        </r>
        <r>
          <rPr>
            <sz val="9"/>
            <color indexed="81"/>
            <rFont val="Tahoma"/>
            <family val="2"/>
          </rPr>
          <t>See description of QUICK_SET_GPIO_0 field.</t>
        </r>
      </text>
    </comment>
    <comment ref="E214" authorId="0" shapeId="0" xr:uid="{21E8E7AD-9F9C-41CC-8E1C-6739D76764F4}">
      <text>
        <r>
          <rPr>
            <sz val="12"/>
            <color theme="1"/>
            <rFont val="Calibri"/>
            <family val="2"/>
            <scheme val="minor"/>
          </rPr>
          <t>Drive GPIO 1 port pins low.
See description of QUICK_SET_GPIO_0 field.</t>
        </r>
      </text>
    </comment>
    <comment ref="E215" authorId="0" shapeId="0" xr:uid="{41065E1D-4B5D-4620-A860-8CE5052AB17F}">
      <text>
        <r>
          <rPr>
            <sz val="12"/>
            <color theme="1"/>
            <rFont val="Calibri"/>
            <family val="2"/>
            <scheme val="minor"/>
          </rPr>
          <t>Drive GPIO 2 port pins high.
See description of QUICK_SET_GPIO_0 field.</t>
        </r>
      </text>
    </comment>
    <comment ref="E216" authorId="0" shapeId="0" xr:uid="{536C16F3-5196-4398-99C1-F883732CF971}">
      <text>
        <r>
          <rPr>
            <sz val="12"/>
            <color theme="1"/>
            <rFont val="Calibri"/>
            <family val="2"/>
            <scheme val="minor"/>
          </rPr>
          <t>Drive GPIO 2 port pins low.
See description of QUICK_SET_GPIO_0 field.</t>
        </r>
      </text>
    </comment>
    <comment ref="E217" authorId="0" shapeId="0" xr:uid="{B506013D-883D-4290-ADB4-6556DA1B8570}">
      <text>
        <r>
          <rPr>
            <sz val="12"/>
            <color theme="1"/>
            <rFont val="Calibri"/>
            <family val="2"/>
            <scheme val="minor"/>
          </rPr>
          <t>Drive GPIO 3 port pins high.
See description of QUICK_SET_GPIO_0 field.</t>
        </r>
      </text>
    </comment>
    <comment ref="E218" authorId="0" shapeId="0" xr:uid="{42E6C138-E374-419F-89FD-FDFCFB4914BE}">
      <text>
        <r>
          <rPr>
            <sz val="12"/>
            <color theme="1"/>
            <rFont val="Calibri"/>
            <family val="2"/>
            <scheme val="minor"/>
          </rPr>
          <t>Drive GPIO 3 port pins low.
See description of QUICK_SET_GPIO_0 field.</t>
        </r>
      </text>
    </comment>
    <comment ref="E219" authorId="0" shapeId="0" xr:uid="{A59E1F1B-04CA-4CCF-9268-6D85899C7EB0}">
      <text>
        <r>
          <rPr>
            <sz val="12"/>
            <color theme="1"/>
            <rFont val="Calibri"/>
            <family val="2"/>
            <scheme val="minor"/>
          </rPr>
          <t>Drive GPIO 4 port pins high.
See description of QUICK_SET_GPIO_0 field.</t>
        </r>
      </text>
    </comment>
    <comment ref="E220" authorId="0" shapeId="0" xr:uid="{A04B0199-98B2-4545-8ACD-A8300F78748D}">
      <text>
        <r>
          <rPr>
            <sz val="12"/>
            <color theme="1"/>
            <rFont val="Calibri"/>
            <family val="2"/>
            <scheme val="minor"/>
          </rPr>
          <t xml:space="preserve">Drive GPIO 4 port pins low.
See description of QUICK_SET_GPIO_0 field.
</t>
        </r>
      </text>
    </comment>
    <comment ref="E221" authorId="0" shapeId="0" xr:uid="{02464AFA-6A3F-4586-9C63-F78EA1AC1248}">
      <text>
        <r>
          <rPr>
            <sz val="12"/>
            <color theme="1"/>
            <rFont val="Calibri"/>
            <family val="2"/>
            <scheme val="minor"/>
          </rPr>
          <t>Drive GPIO 5 port pins high.
See description of QUICK_SET_GPIO_0 field.</t>
        </r>
      </text>
    </comment>
    <comment ref="E222" authorId="0" shapeId="0" xr:uid="{AC05455B-AE00-43B2-BDA2-3CDF0F16D989}">
      <text>
        <r>
          <rPr>
            <sz val="12"/>
            <color theme="1"/>
            <rFont val="Calibri"/>
            <family val="2"/>
            <scheme val="minor"/>
          </rPr>
          <t>Drive GPIO 5 port pins low.
See description of QUICK_SET_GPIO_0 field.</t>
        </r>
      </text>
    </comment>
    <comment ref="E227" authorId="0" shapeId="0" xr:uid="{0EDBBAF4-2871-4FCC-AB44-69F7CDD9ED77}">
      <text>
        <r>
          <rPr>
            <sz val="9"/>
            <color indexed="81"/>
            <rFont val="Tahoma"/>
            <family val="2"/>
          </rPr>
          <t>CUST_MK_SK is stored in form of RFC3394 blob and it is used by bootloader to decrypt SB3.1 encryption key during processing of SB file by bootloader. CUST_MK_SK is generated during device provisioning process by HSM_KEY_GEN (random key) or by HSM_STORE_KEY (user defined key) commands. To store this key into CMPA, SB_STORE_KEY command should be used.</t>
        </r>
      </text>
    </comment>
    <comment ref="E262" authorId="0" shapeId="0" xr:uid="{ABF51896-D9E1-470C-ADAA-3E3AD03604B8}">
      <text>
        <r>
          <rPr>
            <sz val="9"/>
            <color indexed="81"/>
            <rFont val="Tahoma"/>
            <family val="2"/>
          </rPr>
          <t>ROM updates this field along with CMPA_CMAC. 
ROM uses this field based on CMPA.LP_SEC_BOOT field option.</t>
        </r>
      </text>
    </comment>
    <comment ref="E263" authorId="0" shapeId="0" xr:uid="{F5A74674-A5F3-4AD3-B9E4-849A92356411}">
      <text>
        <r>
          <rPr>
            <sz val="9"/>
            <color indexed="81"/>
            <rFont val="Tahoma"/>
            <family val="2"/>
          </rPr>
          <t xml:space="preserve">CMAC of CMPA page data from offset 0x00 to 0x1EB. 
 ROM updates this field  on subsequent boot after page update. </t>
        </r>
      </text>
    </comment>
    <comment ref="D267" authorId="2" shapeId="0" xr:uid="{E1FA51C5-F14C-4A33-86CE-DD28DC42D45B}">
      <text>
        <r>
          <rPr>
            <sz val="12"/>
            <color theme="1"/>
            <rFont val="Calibri"/>
            <family val="2"/>
            <scheme val="minor"/>
          </rPr>
          <t>Cannot program by ISP commands, refer to SRM Doc to update this region by ROM API.</t>
        </r>
      </text>
    </comment>
  </commentList>
</comments>
</file>

<file path=xl/sharedStrings.xml><?xml version="1.0" encoding="utf-8"?>
<sst xmlns="http://schemas.openxmlformats.org/spreadsheetml/2006/main" count="929" uniqueCount="627">
  <si>
    <t>Protected Flash Region</t>
  </si>
  <si>
    <t>+3</t>
  </si>
  <si>
    <t>+2</t>
  </si>
  <si>
    <t>+1</t>
  </si>
  <si>
    <t>+0</t>
  </si>
  <si>
    <t>Word Address
(HEX)</t>
  </si>
  <si>
    <t>Byte Address
(HEX)</t>
  </si>
  <si>
    <t>Field Description</t>
  </si>
  <si>
    <t>Customer Field Programmable Area (CFPA)</t>
  </si>
  <si>
    <t>Header</t>
  </si>
  <si>
    <r>
      <rPr>
        <sz val="11"/>
        <color rgb="FF9C5700"/>
        <rFont val="DengXian"/>
      </rPr>
      <t>CFPA Header marker should be set to</t>
    </r>
    <r>
      <rPr>
        <b/>
        <sz val="11"/>
        <color rgb="FF000000"/>
        <rFont val="DengXian"/>
      </rPr>
      <t xml:space="preserve"> 0x9635. After this header is set, all non-zero values will take effect; leaving all values set to 0xff will cause undefined behavior. It is recommended to set all values to 0x00 before setting the CFPA header.</t>
    </r>
  </si>
  <si>
    <t>INV_CFPA_LC_STATE[7:0]</t>
  </si>
  <si>
    <t>CFPA_LC_STATE[7:0]</t>
  </si>
  <si>
    <t>CFPA_PAGE_VERSION</t>
  </si>
  <si>
    <t>DICE_UPD</t>
  </si>
  <si>
    <t>Reserved</t>
  </si>
  <si>
    <t>CMPA_UPD</t>
  </si>
  <si>
    <t>IMG_UPD</t>
  </si>
  <si>
    <t>CFPA page version (Monotonic counter)</t>
  </si>
  <si>
    <t>ROM enforces monotonic increment check during CFPA-CMAC page update. If the new counter value is less than the value in active CFPA page, then the update is rejected and CMAC sigining is skipped.</t>
  </si>
  <si>
    <t>Secure_FW_Version</t>
  </si>
  <si>
    <t>Secure firmware version (Monotonic counter)</t>
    <phoneticPr fontId="3" type="noConversion"/>
  </si>
  <si>
    <t>NS_FW_Version</t>
  </si>
  <si>
    <t>Non Secure firmware version (Monotonic counter)</t>
  </si>
  <si>
    <t>reserved</t>
  </si>
  <si>
    <t>Reserved for future use.</t>
  </si>
  <si>
    <t>SECBOOT_FLAGS</t>
  </si>
  <si>
    <t>OEM_RETURN_ERASE_DONE</t>
  </si>
  <si>
    <t>RoTK3_EN</t>
  </si>
  <si>
    <t>RoTK2_EN</t>
  </si>
  <si>
    <t>RoTK1_EN</t>
  </si>
  <si>
    <t>RoTK0_EN</t>
  </si>
  <si>
    <t>IMAGE_KEY_REVOKE</t>
  </si>
  <si>
    <t>RESERVED</t>
  </si>
  <si>
    <t>Image key revocation ID (Monotonic counter)</t>
  </si>
  <si>
    <t xml:space="preserve">ROM enforces monotonic increment check during CFPA-CMAC update. </t>
  </si>
  <si>
    <t>LP_VECTOR_ADDR</t>
  </si>
  <si>
    <t>DBG_REVOKE_VU</t>
  </si>
  <si>
    <t>Inverse value of [15:0]</t>
  </si>
  <si>
    <t>Debug certificate revocation counter (monotonic counter)</t>
  </si>
  <si>
    <t>DCFG_CC_SOCU_NS_PIN</t>
  </si>
  <si>
    <t>UUID_CHECK</t>
  </si>
  <si>
    <t>CPU1_DBGEN</t>
  </si>
  <si>
    <t>CPU1_NIDEN</t>
  </si>
  <si>
    <t>ME_CMD_EN</t>
  </si>
  <si>
    <t>FA_CMD_EN</t>
  </si>
  <si>
    <t>ISP_CMD_EN</t>
  </si>
  <si>
    <t>DSP_DBGEN</t>
  </si>
  <si>
    <t>SPIDEN</t>
  </si>
  <si>
    <t>SPNIDEN</t>
  </si>
  <si>
    <t>DBGEN</t>
  </si>
  <si>
    <t>NIDEN</t>
  </si>
  <si>
    <t>DCFG_CC_SOCU_NS_DFLT</t>
  </si>
  <si>
    <t>MCTR_NPX_CTX0</t>
  </si>
  <si>
    <t>Erase count for internal Prince region 0 (Monotonic counter)</t>
  </si>
  <si>
    <t>MCTR_NPX_CTX1</t>
  </si>
  <si>
    <t>Erase count for internal Prince region 1 (Monotonic counter)</t>
  </si>
  <si>
    <t>MCTR_NPX_CTX2</t>
  </si>
  <si>
    <t>Erase count for internal Prince region 2 (Monotonic counter)</t>
  </si>
  <si>
    <t>MCTR_NPX_CTX3</t>
  </si>
  <si>
    <t>Erase count for internal Prince region 3 (Monotonic counter)</t>
  </si>
  <si>
    <t>MCTR_IPED_CTX0</t>
    <phoneticPr fontId="3" type="noConversion"/>
  </si>
  <si>
    <t>Erase count for external Prince region 0 (Monotonic counter)</t>
  </si>
  <si>
    <t>MCTR_IPED_CTX1</t>
    <phoneticPr fontId="3" type="noConversion"/>
  </si>
  <si>
    <t>Erase count for external Prince region 1 (Monotonic counter)</t>
  </si>
  <si>
    <t>MCTR_IPED_CTX2</t>
    <phoneticPr fontId="3" type="noConversion"/>
  </si>
  <si>
    <t>Erase count for external Prince region 2 (Monotonic counter)</t>
  </si>
  <si>
    <t>MCTR_IPED_CTX3</t>
    <phoneticPr fontId="3" type="noConversion"/>
  </si>
  <si>
    <t>Erase count for external Prince region 3 (Monotonic counter)</t>
  </si>
  <si>
    <t>MCTR_IPED_CTX4</t>
    <phoneticPr fontId="3" type="noConversion"/>
  </si>
  <si>
    <t>Erase count for external Prince region 4 (Monotonic counter)</t>
  </si>
  <si>
    <t>MCTR_IPED_CTX5</t>
    <phoneticPr fontId="3" type="noConversion"/>
  </si>
  <si>
    <t>Erase count for external Prince region 5 (Monotonic counter)</t>
  </si>
  <si>
    <t>MCTR_IPED_CTX6</t>
    <phoneticPr fontId="3" type="noConversion"/>
  </si>
  <si>
    <t>Erase count for external Prince region 6 (Monotonic counter)</t>
  </si>
  <si>
    <t>MCTR_IPED_CTX7</t>
    <phoneticPr fontId="3" type="noConversion"/>
  </si>
  <si>
    <t>Erase count for external Prince region 7 (Monotonic counter)</t>
  </si>
  <si>
    <t>ERR_AUTH_FAIL_COUNT</t>
  </si>
  <si>
    <t>Authentication failure counter during boot, SB3, debug authentication (Monotonic counter)</t>
  </si>
  <si>
    <t>ERR_ITRC_COUNT</t>
  </si>
  <si>
    <t>Tamper event counter (Any ITRC reset caused by tamper events such as WDT reset, CDOG reset, GDET reset, Tamper pin) (Monotonic counter)</t>
  </si>
  <si>
    <t>MCTR_CUST_CTR0</t>
  </si>
  <si>
    <t>Customer defined Monotonic counter 0</t>
  </si>
  <si>
    <t>ROM enforces monotonic increment check during CFPA-CMAC page update.</t>
  </si>
  <si>
    <t>MCTR_CUST_CTR1</t>
  </si>
  <si>
    <t>Customer defined Monotonic counter 1</t>
  </si>
  <si>
    <t>MCTR_CUST_CTR2</t>
  </si>
  <si>
    <t>Customer defined Monotonic counter 2</t>
  </si>
  <si>
    <t>MCTR_CUST_CTR3</t>
  </si>
  <si>
    <t>Customer defined Monotonic counter 3</t>
  </si>
  <si>
    <t>MCTR_CUST_CTR4</t>
  </si>
  <si>
    <t>Customer defined Monotonic counter 4</t>
  </si>
  <si>
    <t>MCTR_CUST_CTR5</t>
  </si>
  <si>
    <t>Customer defined Monotonic counter 5</t>
  </si>
  <si>
    <t>MCTR_CUST_CTR6</t>
  </si>
  <si>
    <t>Customer defined Monotonic counter 6</t>
  </si>
  <si>
    <t>MCTR_CUST_CTR7</t>
  </si>
  <si>
    <t>Customer defined Monotonic counter 7</t>
  </si>
  <si>
    <t>MFLAG_CUST_0</t>
  </si>
  <si>
    <t>Customer defined Monotonic flags 0 (once a bit is set the newer version of the page should have the flag set.)</t>
  </si>
  <si>
    <t>ROM enforces monotonic flag check during CFPA-CMAC page update.</t>
  </si>
  <si>
    <t>MFLAG_CUST_1</t>
  </si>
  <si>
    <t>Customer defined Monotonic flags 1</t>
  </si>
  <si>
    <t>MFLAG_CUST_2</t>
  </si>
  <si>
    <t>Customer defined Monotonic flags 2</t>
  </si>
  <si>
    <t>MFLAG_CUST_3</t>
  </si>
  <si>
    <t>Customer defined Monotonic flags 3</t>
  </si>
  <si>
    <t>MFLAG_CUST_4</t>
  </si>
  <si>
    <t>Customer defined Monotonic flags 4</t>
  </si>
  <si>
    <t>MFLAG_CUST_5</t>
  </si>
  <si>
    <t>Customer defined Monotonic flags 5</t>
  </si>
  <si>
    <t>MFLAG_CUST_6</t>
  </si>
  <si>
    <t>Customer defined Monotonic flags 6</t>
  </si>
  <si>
    <t>MFLAG_CUST_7</t>
  </si>
  <si>
    <t>Customer defined Monotonic flags 7</t>
  </si>
  <si>
    <t>FLASH_ACL_0_7</t>
    <phoneticPr fontId="3" type="noConversion"/>
  </si>
  <si>
    <t>ACL_SEC_7</t>
  </si>
  <si>
    <t>ACL_SEC_6</t>
  </si>
  <si>
    <t>ACL_SEC_5</t>
  </si>
  <si>
    <t>ACL_SEC_4</t>
  </si>
  <si>
    <t>ACL_SEC_3</t>
  </si>
  <si>
    <t>ACL_SEC_2</t>
  </si>
  <si>
    <t>ACL_SEC_1</t>
  </si>
  <si>
    <t>ACL_SEC_0</t>
  </si>
  <si>
    <t>ROM enforces ascending access level check during CFPA-CMAC page update.</t>
  </si>
  <si>
    <t>FLASH_ACL_8_15</t>
  </si>
  <si>
    <t>ACL_SEC_15</t>
  </si>
  <si>
    <t>ACL_SEC_14</t>
  </si>
  <si>
    <t>ACL_SEC_13</t>
  </si>
  <si>
    <t>ACL_SEC_12</t>
  </si>
  <si>
    <t>ACL_SEC_11</t>
  </si>
  <si>
    <t>ACL_SEC_10</t>
  </si>
  <si>
    <t>ACL_SEC_9</t>
  </si>
  <si>
    <t>ACL_SEC_8</t>
  </si>
  <si>
    <t>FLASH_ACL_16_23</t>
  </si>
  <si>
    <t>ACL_SEC_23</t>
  </si>
  <si>
    <t>ACL_SEC_22</t>
  </si>
  <si>
    <t>ACL_SEC_21</t>
  </si>
  <si>
    <t>ACL_SEC_20</t>
  </si>
  <si>
    <t>ACL_SEC_19</t>
  </si>
  <si>
    <t>ACL_SEC_18</t>
  </si>
  <si>
    <t>ACL_SEC_17</t>
  </si>
  <si>
    <t>ACL_SEC_16</t>
  </si>
  <si>
    <t>FLASH_ACL_24_31</t>
  </si>
  <si>
    <t>ACL_SEC_31</t>
  </si>
  <si>
    <t>ACL_SEC_30</t>
  </si>
  <si>
    <t>ACL_SEC_29</t>
  </si>
  <si>
    <t>ACL_SEC_28</t>
  </si>
  <si>
    <t>ACL_SEC_27</t>
  </si>
  <si>
    <t>ACL_SEC_26</t>
  </si>
  <si>
    <t>ACL_SEC_25</t>
  </si>
  <si>
    <t>ACL_SEC_24</t>
  </si>
  <si>
    <t>FLASH_ACL_32_39</t>
  </si>
  <si>
    <t>ACL_SEC_39</t>
  </si>
  <si>
    <t>ACL_SEC_38</t>
  </si>
  <si>
    <t>ACL_SEC_37</t>
  </si>
  <si>
    <t>ACL_SEC_36</t>
  </si>
  <si>
    <t>ACL_SEC_35</t>
  </si>
  <si>
    <t>ACL_SEC_34</t>
  </si>
  <si>
    <t>ACL_SEC_33</t>
  </si>
  <si>
    <t>ACL_SEC_32</t>
  </si>
  <si>
    <t>FLASH_ACL_40_47</t>
  </si>
  <si>
    <t>ACL_SEC_47</t>
  </si>
  <si>
    <t>ACL_SEC_46</t>
  </si>
  <si>
    <t>ACL_SEC_45</t>
  </si>
  <si>
    <t>ACL_SEC_44</t>
  </si>
  <si>
    <t>ACL_SEC_43</t>
  </si>
  <si>
    <t>ACL_SEC_42</t>
  </si>
  <si>
    <t>ACL_SEC_41</t>
  </si>
  <si>
    <t>ACL_SEC_40</t>
  </si>
  <si>
    <t>FLASH_ACL_48_55</t>
  </si>
  <si>
    <t>ACL_SEC_55</t>
  </si>
  <si>
    <t>ACL_SEC_54</t>
  </si>
  <si>
    <t>ACL_SEC_53</t>
  </si>
  <si>
    <t>ACL_SEC_52</t>
  </si>
  <si>
    <t>ACL_SEC_51</t>
  </si>
  <si>
    <t>ACL_SEC_50</t>
  </si>
  <si>
    <t>ACL_SEC_49</t>
  </si>
  <si>
    <t>ACL_SEC_48</t>
  </si>
  <si>
    <t>FLASH_ACL_55_63</t>
  </si>
  <si>
    <t>ACL_SEC_63</t>
  </si>
  <si>
    <t>ACL_SEC_62</t>
  </si>
  <si>
    <t>ACL_SEC_61</t>
  </si>
  <si>
    <t>ACL_SEC_60</t>
  </si>
  <si>
    <t>ACL_SEC_59</t>
  </si>
  <si>
    <t>ACL_SEC_58</t>
  </si>
  <si>
    <t>ACL_SEC_57</t>
  </si>
  <si>
    <t>ACL_SEC_56</t>
  </si>
  <si>
    <t>IMG0_CMAC</t>
  </si>
  <si>
    <t>IMG0_CMAC[31:0]</t>
  </si>
  <si>
    <t>IMG0_CMAC[63:32]</t>
  </si>
  <si>
    <t>IMG0_CMAC[95:64]</t>
  </si>
  <si>
    <t>IMG0_CMAC[127:96]</t>
  </si>
  <si>
    <t>IMG1_CMAC</t>
  </si>
  <si>
    <t>IMG1_CMAC[31:0]</t>
  </si>
  <si>
    <t>IMG1_CMAC[63:32]</t>
  </si>
  <si>
    <t>IMG1_CMAC[95:64]</t>
  </si>
  <si>
    <t>IMG1_CMAC[127:96]</t>
  </si>
  <si>
    <t>DICE Certificate</t>
  </si>
  <si>
    <t>X coordinate of public key Qx[28]</t>
  </si>
  <si>
    <t>X coordinate of public key Qx[29]</t>
  </si>
  <si>
    <t>X coordinate of public key Qx[30]</t>
  </si>
  <si>
    <t>X coordinate of public key Qx[31]</t>
  </si>
  <si>
    <t>X coordinate of public key Qx[24]</t>
  </si>
  <si>
    <t>X coordinate of public key Qx[25]</t>
  </si>
  <si>
    <t>X coordinate of public key Qx[26]</t>
  </si>
  <si>
    <t>X coordinate of public key Qx[27]</t>
  </si>
  <si>
    <t>X coordinate of public key Qx[20]</t>
  </si>
  <si>
    <t>X coordinate of public key Qx[21]</t>
  </si>
  <si>
    <t>X coordinate of public key Qx[22]</t>
  </si>
  <si>
    <t>X coordinate of public key Qx[23]</t>
  </si>
  <si>
    <t>X coordinate of public key Qx[16]</t>
  </si>
  <si>
    <t>X coordinate of public key Qx[17]</t>
  </si>
  <si>
    <t>X coordinate of public key Qx[18]</t>
  </si>
  <si>
    <t>X coordinate of public key Qx[19]</t>
  </si>
  <si>
    <t>X coordinate of public key Qx[12]</t>
  </si>
  <si>
    <t>X coordinate of public key Qx[13]</t>
  </si>
  <si>
    <t>X coordinate of public key Qx[14]</t>
  </si>
  <si>
    <t>X coordinate of public key Qx[15]</t>
  </si>
  <si>
    <t>X coordinate of public key Qx[8]</t>
  </si>
  <si>
    <t>X coordinate of public key Qx[9]</t>
  </si>
  <si>
    <t>X coordinate of public key Qx[10]</t>
  </si>
  <si>
    <t>X coordinate of public key Qx[11]</t>
  </si>
  <si>
    <t>X coordinate of public key Qx[4]</t>
  </si>
  <si>
    <t>X coordinate of public key Qx[5]</t>
  </si>
  <si>
    <t>X coordinate of public key Qx[6]</t>
  </si>
  <si>
    <t>X coordinate of public key Qx[7]</t>
  </si>
  <si>
    <t>X coordinate of public key Qx[0]</t>
  </si>
  <si>
    <t>X coordinate of public key Qx[1]</t>
  </si>
  <si>
    <t>X coordinate of public key Qx[2]</t>
  </si>
  <si>
    <t>X coordinate of public key Qx[3]</t>
  </si>
  <si>
    <t>Y coordinate of public key Qy[28]</t>
  </si>
  <si>
    <t>Y coordinate of public key Qy[29]</t>
  </si>
  <si>
    <t>Y coordinate of public key Qy[30]</t>
  </si>
  <si>
    <t>Y coordinate of public key Qy[31]</t>
  </si>
  <si>
    <t>Y coordinate of public key Qy[24]</t>
  </si>
  <si>
    <t>Y coordinate of public key Qy[25]</t>
  </si>
  <si>
    <t>Y coordinate of public key Qy[26]</t>
  </si>
  <si>
    <t>Y coordinate of public key Qy[27]</t>
  </si>
  <si>
    <t>Y coordinate of public key Qy[20]</t>
  </si>
  <si>
    <t>Y coordinate of public key Qy[21]</t>
  </si>
  <si>
    <t>Y coordinate of public key Qy[22]</t>
  </si>
  <si>
    <t>Y coordinate of public key Qy[23]</t>
  </si>
  <si>
    <t>Y coordinate of public key Qy[16]</t>
  </si>
  <si>
    <t>Y coordinate of public key Qy[17]</t>
  </si>
  <si>
    <t>Y coordinate of public key Qy[18]</t>
  </si>
  <si>
    <t>Y coordinate of public key Qy[19]</t>
  </si>
  <si>
    <t>Y coordinate of public key Qy[12]</t>
  </si>
  <si>
    <t>Y coordinate of public key Qy[13]</t>
  </si>
  <si>
    <t>Y coordinate of public key Qy[14]</t>
  </si>
  <si>
    <t>Y coordinate of public key Qy[15]</t>
  </si>
  <si>
    <t>Y coordinate of public key Qy[8]</t>
  </si>
  <si>
    <t>Y coordinate of public key Qy[9]</t>
  </si>
  <si>
    <t>Y coordinate of public key Qy[10]</t>
  </si>
  <si>
    <t>Y coordinate of public key Qy[11]</t>
  </si>
  <si>
    <t>Y coordinate of public key Qy[4]</t>
  </si>
  <si>
    <t>Y coordinate of public key Qy[5]</t>
  </si>
  <si>
    <t>Y coordinate of public key Qy[6]</t>
  </si>
  <si>
    <t>Y coordinate of public key Qy[7]</t>
  </si>
  <si>
    <t>Y coordinate of public key Qy[0]</t>
  </si>
  <si>
    <t>Y coordinate of public key Qy[1]</t>
  </si>
  <si>
    <t>Y coordinate of public key Qy[2]</t>
  </si>
  <si>
    <t>Y coordinate of public key Qy[3]</t>
  </si>
  <si>
    <t>ECDSA_SIG_R[28]</t>
  </si>
  <si>
    <t>ECDSA_SIG_R[29]</t>
  </si>
  <si>
    <t>ECDSA_SIG_R[30]</t>
  </si>
  <si>
    <t>ECDSA_SIG_R[31]</t>
  </si>
  <si>
    <t>ECDSA_SIG_R[24]</t>
  </si>
  <si>
    <t>ECDSA_SIG_R[25]</t>
  </si>
  <si>
    <t>ECDSA_SIG_R[26]</t>
  </si>
  <si>
    <t>ECDSA_SIG_R[27]</t>
  </si>
  <si>
    <t>ECDSA_SIG_R[20]</t>
  </si>
  <si>
    <t>ECDSA_SIG_R[21]</t>
  </si>
  <si>
    <t>ECDSA_SIG_R[22]</t>
  </si>
  <si>
    <t>ECDSA_SIG_R[23]</t>
  </si>
  <si>
    <t>ECDSA_SIG_R[16]</t>
  </si>
  <si>
    <t>ECDSA_SIG_R[17]</t>
  </si>
  <si>
    <t>ECDSA_SIG_R[18]</t>
  </si>
  <si>
    <t>ECDSA_SIG_R[19]</t>
  </si>
  <si>
    <t>ECDSA_SIG_R[12]</t>
  </si>
  <si>
    <t>ECDSA_SIG_R[13]</t>
  </si>
  <si>
    <t>ECDSA_SIG_R[14]</t>
  </si>
  <si>
    <t>ECDSA_SIG_R[15]</t>
  </si>
  <si>
    <t>ECDSA_SIG_R[8]</t>
  </si>
  <si>
    <t>ECDSA_SIG_R[9]</t>
  </si>
  <si>
    <t>ECDSA_SIG_R[10]</t>
  </si>
  <si>
    <t>ECDSA_SIG_R[11]</t>
  </si>
  <si>
    <t>ECDSA_SIG_R[4]</t>
  </si>
  <si>
    <t>ECDSA_SIG_R[5]</t>
  </si>
  <si>
    <t>ECDSA_SIG_R[6]</t>
  </si>
  <si>
    <t>ECDSA_SIG_R[7]</t>
  </si>
  <si>
    <t>ECDSA_SIG_R[0]</t>
  </si>
  <si>
    <t>ECDSA_SIG_R[1]</t>
  </si>
  <si>
    <t>ECDSA_SIG_R[2]</t>
  </si>
  <si>
    <t>ECDSA_SIG_R[3]</t>
  </si>
  <si>
    <t>ECDSA_SIG_S[28]</t>
  </si>
  <si>
    <t>ECDSA_SIG_S[29]</t>
  </si>
  <si>
    <t>ECDSA_SIG_S[30]</t>
  </si>
  <si>
    <t>ECDSA_SIG_S[31]</t>
  </si>
  <si>
    <t>ECDSA_SIG_S[24]</t>
  </si>
  <si>
    <t>ECDSA_SIG_S[25]</t>
  </si>
  <si>
    <t>ECDSA_SIG_S[26]</t>
  </si>
  <si>
    <t>ECDSA_SIG_S[27]</t>
  </si>
  <si>
    <t>ECDSA_SIG_S[20]</t>
  </si>
  <si>
    <t>ECDSA_SIG_S[21]</t>
  </si>
  <si>
    <t>ECDSA_SIG_S[22]</t>
  </si>
  <si>
    <t>ECDSA_SIG_S[23]</t>
  </si>
  <si>
    <t>ECDSA_SIG_S[16]</t>
  </si>
  <si>
    <t>ECDSA_SIG_S[17]</t>
  </si>
  <si>
    <t>ECDSA_SIG_S[18]</t>
  </si>
  <si>
    <t>ECDSA_SIG_S[19]</t>
  </si>
  <si>
    <t>ECDSA_SIG_S[12]</t>
  </si>
  <si>
    <t>ECDSA_SIG_S[13]</t>
  </si>
  <si>
    <t>ECDSA_SIG_S[14]</t>
  </si>
  <si>
    <t>ECDSA_SIG_S[15]</t>
  </si>
  <si>
    <t>ECDSA_SIG_S[8]</t>
  </si>
  <si>
    <t>ECDSA_SIG_S[9]</t>
  </si>
  <si>
    <t>ECDSA_SIG_S[10]</t>
  </si>
  <si>
    <t>ECDSA_SIG_S[11]</t>
  </si>
  <si>
    <t>ECDSA_SIG_S[4]</t>
  </si>
  <si>
    <t>ECDSA_SIG_S[5]</t>
  </si>
  <si>
    <t>ECDSA_SIG_S[6]</t>
  </si>
  <si>
    <t>ECDSA_SIG_S[7]</t>
  </si>
  <si>
    <t>ECDSA_SIG_S[0]</t>
  </si>
  <si>
    <t>ECDSA_SIG_S[1]</t>
  </si>
  <si>
    <t>ECDSA_SIG_S[2]</t>
  </si>
  <si>
    <t>ECDSA_SIG_S[3]</t>
  </si>
  <si>
    <t>IPED_GCM_AAD_CTX0</t>
  </si>
  <si>
    <t>Additional Authentiction Data for IPED context 0</t>
  </si>
  <si>
    <t>IPED_GCM_AAD_CTX1</t>
  </si>
  <si>
    <t>Additional Authentiction Data for IPED context 1</t>
  </si>
  <si>
    <t>IPED_GCM_AAD_CTX2</t>
  </si>
  <si>
    <t>Additional Authentiction Data for IPED context 2</t>
  </si>
  <si>
    <t>IPED_GCM_AAD_CTX3</t>
  </si>
  <si>
    <t>Additional Authentiction Data for IPED context 3</t>
  </si>
  <si>
    <t>IPED_GCM_AAD_CTX4</t>
  </si>
  <si>
    <t>Additional Authentiction Data for IPED context 4</t>
  </si>
  <si>
    <t>IPED_GCM_AAD_CTX5</t>
  </si>
  <si>
    <t>Additional Authentiction Data for IPED context 5</t>
  </si>
  <si>
    <t>IPED_GCM_AAD_CTX6</t>
  </si>
  <si>
    <t>Additional Authentiction Data for IPED context 6</t>
  </si>
  <si>
    <t>IPED_GCM_AAD_CTX7</t>
  </si>
  <si>
    <t>Additional Authentiction Data for IPED context 7</t>
  </si>
  <si>
    <t>CFPA CRC32</t>
  </si>
  <si>
    <t>CFPA _CRC[31:0] used during low-power wake.</t>
  </si>
  <si>
    <t>CFPA0 CMAC</t>
  </si>
  <si>
    <t>CFPA_CMAC[31:0]</t>
  </si>
  <si>
    <t>CFPA_CMAC[63:32]</t>
  </si>
  <si>
    <t>CFPA_CMAC[95:64]</t>
  </si>
  <si>
    <t>CFPA_CMAC[127:96]</t>
  </si>
  <si>
    <t>0100_0200
to
0100_1FFF</t>
  </si>
  <si>
    <t>Customer defined</t>
  </si>
  <si>
    <t>Customer Manufacturing/Factory Configuration Area (CMPA)</t>
  </si>
  <si>
    <t>BOOT_CFG</t>
  </si>
  <si>
    <r>
      <rPr>
        <sz val="11"/>
        <color rgb="FF9C5700"/>
        <rFont val="DengXian"/>
      </rPr>
      <t>CMPA Header marker should be set to</t>
    </r>
    <r>
      <rPr>
        <b/>
        <sz val="11"/>
        <color rgb="FF000000"/>
        <rFont val="DengXian"/>
      </rPr>
      <t xml:space="preserve"> 0x5963. After this header is set, all non-zero values will take effect; leaving all settings at 0xff will cause undefined behavior. It is recommended to set all values to 0x00 before setting the CMPA header value.</t>
    </r>
  </si>
  <si>
    <t>BOOT_SPEED</t>
  </si>
  <si>
    <t>REC_BOOT_SRC</t>
  </si>
  <si>
    <t>ISP_BOOT_IF</t>
  </si>
  <si>
    <t>BOOT_SRC</t>
  </si>
  <si>
    <t>FLASH_CFG</t>
  </si>
  <si>
    <t>ISP_FT_ENTRY</t>
  </si>
  <si>
    <t>ISP_API_ENTRY</t>
  </si>
  <si>
    <t>ISP_DM_ENTRY</t>
  </si>
  <si>
    <t>ISP_PIN_ENTRY</t>
  </si>
  <si>
    <t>OEM_BANK1_IFR0_PROT</t>
  </si>
  <si>
    <t>FLASH_REMAP_SIZE</t>
  </si>
  <si>
    <t>BOOT_LED_STATUS</t>
  </si>
  <si>
    <t>BOOT_FAIL_LED</t>
  </si>
  <si>
    <t>ISP_BOOT_LED</t>
  </si>
  <si>
    <t>REC_BOOT_LED</t>
  </si>
  <si>
    <t>BOOT_TIMERS</t>
  </si>
  <si>
    <t>WDOG_TIMEOUT_COUNT</t>
  </si>
  <si>
    <t>POWERDOWN_TIMEOUT_SECS</t>
  </si>
  <si>
    <t>FLEXSPI_BOOT_CFG0</t>
  </si>
  <si>
    <t>PORT_SEL</t>
  </si>
  <si>
    <t>FLEXSPI_PWR_HOLD_TIME</t>
    <phoneticPr fontId="8" type="noConversion"/>
  </si>
  <si>
    <t>FLEXSPI_HOLD TIME</t>
    <phoneticPr fontId="8" type="noConversion"/>
  </si>
  <si>
    <t>FLEXSPI_RESET_GPIO_PIN</t>
    <phoneticPr fontId="8" type="noConversion"/>
  </si>
  <si>
    <t>FLEXSPI_RESET_GPIO_PORT</t>
    <phoneticPr fontId="8" type="noConversion"/>
  </si>
  <si>
    <t>FLEXSPI_RESET_ENABLE</t>
    <phoneticPr fontId="8" type="noConversion"/>
  </si>
  <si>
    <t>FLEXSPI_FREQUENCY</t>
    <phoneticPr fontId="8" type="noConversion"/>
  </si>
  <si>
    <t>FLEXSPI_DUMMY_CYCLES</t>
    <phoneticPr fontId="8" type="noConversion"/>
  </si>
  <si>
    <t>FLEXSPI_FLASH_TYPE</t>
    <phoneticPr fontId="8" type="noConversion"/>
  </si>
  <si>
    <t>FLEXSPI_PROBE_TYPE</t>
    <phoneticPr fontId="8" type="noConversion"/>
  </si>
  <si>
    <t>FLEXSPI_AUTO_PROBE_EN</t>
    <phoneticPr fontId="8" type="noConversion"/>
  </si>
  <si>
    <t>FLEXSPI_BOOT_CFG1</t>
  </si>
  <si>
    <t>FLEXSPI_REMAP_IMAGE_SIZE</t>
  </si>
  <si>
    <t>FLEXSPI_IMAGE_OFFSET</t>
  </si>
  <si>
    <t>FLEXSPI_DELAY_CELL_NUM</t>
    <phoneticPr fontId="8" type="noConversion"/>
  </si>
  <si>
    <t>REC_SPI_FLASH_CFG0</t>
  </si>
  <si>
    <t>REC_SPI_MOSI_FUNC_SLOT</t>
  </si>
  <si>
    <t>REC_SPI_MOSI_PIN</t>
  </si>
  <si>
    <t>REC_SPI_FLEXCOM</t>
  </si>
  <si>
    <t>REC_SPI_SCK_FUNC_SLOT</t>
  </si>
  <si>
    <t>REC_SPI_SCK_PIN</t>
  </si>
  <si>
    <t>REC_SPI_FLASH_CFG1</t>
  </si>
  <si>
    <t>REC_BOOT_PIN_CUST</t>
  </si>
  <si>
    <t>REC_SPI_SSEL_X</t>
  </si>
  <si>
    <t>REC_SPI_SSEL_FUNC_SLOT</t>
  </si>
  <si>
    <t>REC_SPI_SSEL_PIN</t>
  </si>
  <si>
    <t>REC_SPI_MISO_FUNC_SLOT</t>
  </si>
  <si>
    <t>REC_SPI_MISO_PIN</t>
  </si>
  <si>
    <t>ISP_UART_CFG</t>
  </si>
  <si>
    <t>UART_TX_FUNC_SLOT</t>
  </si>
  <si>
    <t>UART_TX_PIN</t>
  </si>
  <si>
    <t>UART_ISP_FLEXCOM</t>
  </si>
  <si>
    <t>UART_RX_FUNC_SLOT</t>
  </si>
  <si>
    <t>UART_RX_PIN</t>
  </si>
  <si>
    <t>ISP_I2C_CFG</t>
  </si>
  <si>
    <t>I2C_SDA_FUNC_SLOT</t>
  </si>
  <si>
    <t>I2C_SDA_PIN</t>
  </si>
  <si>
    <t>I2C_ISP_FLEXCOM</t>
  </si>
  <si>
    <t>I2C_SCL_FUNC_SLOT</t>
  </si>
  <si>
    <t>I2C_SCL_PIN</t>
  </si>
  <si>
    <t>ISP_CAN_CFG</t>
  </si>
  <si>
    <t>CAN_BAUD_RATE</t>
  </si>
  <si>
    <t>CAN_TX_FUNC_SLOT</t>
  </si>
  <si>
    <t>CAN_TX_PIN</t>
  </si>
  <si>
    <t>CAN_ISP_INST</t>
  </si>
  <si>
    <t>CAN_RX_FUNC_SLOT</t>
  </si>
  <si>
    <t>CAN_RX_PIN</t>
  </si>
  <si>
    <t>ISP_SPI_CFG0</t>
  </si>
  <si>
    <t>SPI_MOSI_FUNC_SLOT</t>
  </si>
  <si>
    <t>SPI_MOSI_PIN</t>
  </si>
  <si>
    <t>SPI_ISP_FLEXCOM</t>
  </si>
  <si>
    <t>SPI_SCK_FUNC_SLOT</t>
  </si>
  <si>
    <t>SPI_SCK_PIN</t>
  </si>
  <si>
    <t>ISP_SPI_CFG1</t>
  </si>
  <si>
    <t>ISP_SPI_SSEL_X</t>
  </si>
  <si>
    <t>SPI_SSEL_FUNC_SLOT</t>
  </si>
  <si>
    <t>SPI_SSEL_PIN</t>
  </si>
  <si>
    <t>SPI_MISO_FUNC_SLOT</t>
  </si>
  <si>
    <t>SPI_MISO_PIN</t>
  </si>
  <si>
    <t>ISP_USB_ID</t>
  </si>
  <si>
    <t>USB Product ID</t>
  </si>
  <si>
    <t>USB Vendor ID</t>
  </si>
  <si>
    <t>ISP_USB_CFG</t>
  </si>
  <si>
    <t>PRE_DIV</t>
  </si>
  <si>
    <t>EXT_XTAL_CLK</t>
  </si>
  <si>
    <t>USBx_VBUS_FUNC_SLOT</t>
  </si>
  <si>
    <t>USBx_VBUS_PIN</t>
  </si>
  <si>
    <t>ISP_MISC_CFG</t>
  </si>
  <si>
    <t>ISP_UART_CUST</t>
  </si>
  <si>
    <t>ISP_I2C_CUST</t>
  </si>
  <si>
    <t>ISP_SPI_CUST</t>
  </si>
  <si>
    <t>ISP_CAN_CUST</t>
  </si>
  <si>
    <t>ISP_USB_CUST</t>
  </si>
  <si>
    <t>I2C_SLAVE_ADDR</t>
  </si>
  <si>
    <t>CC_SOCU_PIN</t>
  </si>
  <si>
    <t>CC_SOCU_DFLT</t>
  </si>
  <si>
    <t>VENDOR_USAGE</t>
  </si>
  <si>
    <t>VENDOR_USAGE[31:16]</t>
  </si>
  <si>
    <t>SECURE_BOOT_CFG</t>
  </si>
  <si>
    <t>FIPS_PUF_STEN</t>
  </si>
  <si>
    <t>FIPS_KDF_STEN</t>
  </si>
  <si>
    <t>FIPS_CMAC_STEN</t>
  </si>
  <si>
    <t>FIPS_DRBG_STEN</t>
  </si>
  <si>
    <t>FIPS_ECDSA_STEN</t>
  </si>
  <si>
    <t>FIPS_AES_STEN</t>
  </si>
  <si>
    <t>FIPS_SHA_STEN</t>
  </si>
  <si>
    <t>ACTIVE_IMG_PROT</t>
  </si>
  <si>
    <t>ITRC_ZEROIZE</t>
  </si>
  <si>
    <t>ENF_TZM_PRESET</t>
  </si>
  <si>
    <t>ENF_CNSA</t>
  </si>
  <si>
    <t>LP_SEC_BOOT</t>
  </si>
  <si>
    <t>SEC_BOOT_EN</t>
  </si>
  <si>
    <t>RoTK_USAGE</t>
  </si>
  <si>
    <t>NPX_LOCK_CTX3</t>
  </si>
  <si>
    <t>NPX_LOCK_CTX2</t>
  </si>
  <si>
    <t>NPX_LOCK_CTX1</t>
  </si>
  <si>
    <t>NPX_LOCK_CTX0</t>
  </si>
  <si>
    <t>REG3_ERASE_CHECK_EN</t>
  </si>
  <si>
    <t>REG2_ERASE_CHECK_EN</t>
  </si>
  <si>
    <t>REG1_ERASE_CHECK_EN</t>
  </si>
  <si>
    <t>REG0_ERASE_CHECK_EN</t>
  </si>
  <si>
    <t>DICE_INC_CUST_CFG</t>
  </si>
  <si>
    <t>DICE_INC_NXP_CFG</t>
  </si>
  <si>
    <t>SKIP_DICE</t>
  </si>
  <si>
    <t>RoTK3_Usage</t>
  </si>
  <si>
    <t>RoTK2_Usage</t>
  </si>
  <si>
    <t>RoTK1_Usage</t>
  </si>
  <si>
    <t>RoTK0_Usage</t>
  </si>
  <si>
    <t>ROTKH[383:352]</t>
  </si>
  <si>
    <t>Root of Trust Keys Table hash - SHA384[383:352] / SHA256[255:224]</t>
  </si>
  <si>
    <t>ROTKH[351:320]</t>
  </si>
  <si>
    <t>SHA384[351:320] / SHA256[223:192]</t>
  </si>
  <si>
    <t>ROTKH[319:288]</t>
  </si>
  <si>
    <t>SHA384[319:288] / SHA256[191:160]</t>
  </si>
  <si>
    <t>ROTKH[287:256]</t>
  </si>
  <si>
    <t>SHA384[287:256] / SHA256[159:128]</t>
  </si>
  <si>
    <t>ROTKH[255:224]</t>
  </si>
  <si>
    <t>SHA384[255:224] / SHA256[127:096]</t>
  </si>
  <si>
    <t>ROTKH[223:192]</t>
  </si>
  <si>
    <t>SHA384[223:192] / SHA256[095:064]</t>
  </si>
  <si>
    <t>ROTKH[191:160]</t>
  </si>
  <si>
    <t>SHA384[191:160] / SHA256[063:032]</t>
  </si>
  <si>
    <t>ROTKH[159:128]</t>
  </si>
  <si>
    <t>SHA384[159:128] / SHA256[031:000]</t>
  </si>
  <si>
    <t>ROTKH[127:96]</t>
  </si>
  <si>
    <t>SHA384[127:096] / 0</t>
  </si>
  <si>
    <t>ROTKH[95:64]</t>
  </si>
  <si>
    <t>SHA384[095:064] / 0</t>
  </si>
  <si>
    <t>ROTKH[63:32]</t>
  </si>
  <si>
    <t>SHA384[063:032] / 0</t>
  </si>
  <si>
    <t>ROTKH[31:0]</t>
  </si>
  <si>
    <t>SHA384[031:000] / 0</t>
  </si>
  <si>
    <t>NPX_CTX0_WD0</t>
  </si>
  <si>
    <t>Bitmap mask for NPX Prince context 0 (sectors 0 -31)</t>
  </si>
  <si>
    <t>NPX_CTX0_WD1</t>
  </si>
  <si>
    <t>Bitmap mask for NPX Prince context 0 (sectors 32-63)</t>
  </si>
  <si>
    <t>NPX_CTX1_WD0</t>
  </si>
  <si>
    <t>Bitmap mask for NPX Prince context 1  (sectors 0 -31)</t>
  </si>
  <si>
    <t>NPX_CTX1_WD1</t>
  </si>
  <si>
    <t>Bitmap mask for NPX Prince context 1 (sectors 32 -63)</t>
  </si>
  <si>
    <t>NPX_CTX2_WD0</t>
  </si>
  <si>
    <t>Bitmap mask for NPX Prince context 2 (sectors 0 -31)</t>
  </si>
  <si>
    <t>NPX_CTX2_WD1</t>
  </si>
  <si>
    <t>Bitmap mask for NPX Prince context 2 (sectors 32 -63)</t>
  </si>
  <si>
    <t>NPX_CTX3_WD0</t>
  </si>
  <si>
    <t>Bitmap mask for NPX Prince context 3 (sectors 0 -31)</t>
  </si>
  <si>
    <t>NPX_CTX3_WD1</t>
  </si>
  <si>
    <t>Bitmap mask for NPX Prince context 3 (sectors 32 -63)</t>
  </si>
  <si>
    <t>IPED0_START</t>
  </si>
  <si>
    <t>IPED_CTX0_START_ADDR</t>
  </si>
  <si>
    <t>AHBERR_DIS</t>
  </si>
  <si>
    <t>GCM_MODE</t>
  </si>
  <si>
    <t>IPED0_END</t>
  </si>
  <si>
    <t>IPED_CTX0_END_ADDR</t>
  </si>
  <si>
    <t>LOCK_EN</t>
  </si>
  <si>
    <t>IPED1_START</t>
  </si>
  <si>
    <t>IPED_CTX1_START_ADDR</t>
  </si>
  <si>
    <t>IPED1_END</t>
  </si>
  <si>
    <t>IPED_CTX1_END_ADDR</t>
  </si>
  <si>
    <t>IPED2_START</t>
  </si>
  <si>
    <t>IPED_CTX2_START_ADDR</t>
  </si>
  <si>
    <t>IPED2_END</t>
  </si>
  <si>
    <t>IPED_CTX2_END_ADDR</t>
  </si>
  <si>
    <t>IPED3_START</t>
  </si>
  <si>
    <t>IPED_CTX3_START_ADDR</t>
  </si>
  <si>
    <t>IPED3_END</t>
  </si>
  <si>
    <t>IPED_CTX3_END_ADDR</t>
  </si>
  <si>
    <t>IPED4_START</t>
  </si>
  <si>
    <t>IPED_CTX4_START_ADDR</t>
  </si>
  <si>
    <t>IPED4_END</t>
  </si>
  <si>
    <t>IPED_CTX4_END_ADDR</t>
  </si>
  <si>
    <t>IPED5_START</t>
  </si>
  <si>
    <t>IPED_CTX5_START_ADDR</t>
  </si>
  <si>
    <t>IPED5_END</t>
  </si>
  <si>
    <t>IPED_CTX5_END_ADDR</t>
  </si>
  <si>
    <t>IPED6_START</t>
  </si>
  <si>
    <t>IPED_CTX6_START_ADDR</t>
  </si>
  <si>
    <t>IPED6_END</t>
  </si>
  <si>
    <t>IPED_CTX6_END_ADDR</t>
  </si>
  <si>
    <t>IPED7_START</t>
  </si>
  <si>
    <t>IPED_CTX7_START_ADDR</t>
  </si>
  <si>
    <t>IPED7_END</t>
  </si>
  <si>
    <t>IPED_CTX7_END_ADDR</t>
  </si>
  <si>
    <t>REC_IMG_EXT0</t>
  </si>
  <si>
    <t>REC_IMG_EXT0: Bitmap mask for recovery image extended sectors (sectors 8 -31)</t>
  </si>
  <si>
    <t>REC_IMG_EXT1</t>
  </si>
  <si>
    <t>REC_IMG_EXT1: Bitmap mask for recovery image extended sectors (sectors 40-63)</t>
  </si>
  <si>
    <t>QUICK_SET_GPIO_0</t>
  </si>
  <si>
    <t>QUICK_SET_GPIO_0[31:0]</t>
  </si>
  <si>
    <t>QUICK_CLR_GPIO_0</t>
  </si>
  <si>
    <t>QUICK_CLR_GPIO_0[31:0]</t>
  </si>
  <si>
    <t>QUICK_SET_GPIO_1</t>
  </si>
  <si>
    <t>QUICK_SET_GPIO_1[31:0]</t>
  </si>
  <si>
    <t>QUICK_CLR_GPIO_1</t>
  </si>
  <si>
    <t>QUICK_CLR_GPIO_1[31:0]</t>
  </si>
  <si>
    <t>QUICK_SET_GPIO_2</t>
  </si>
  <si>
    <t>QUICK_SET_GPIO_2[31:0]</t>
  </si>
  <si>
    <t>QUICK_CLR_GPIO_2</t>
  </si>
  <si>
    <t>QUICK_CLR_GPIO_2[31:0]</t>
  </si>
  <si>
    <t>QUICK_SET_GPIO_3</t>
  </si>
  <si>
    <t>QUICK_SET_GPIO_3[31:0]</t>
  </si>
  <si>
    <t>QUICK_CLR_GPIO_3</t>
  </si>
  <si>
    <t>QUICK_CLR_GPIO_3[31:0]</t>
  </si>
  <si>
    <t>QUICK_SET_GPIO_4</t>
  </si>
  <si>
    <t>QUICK_SET_GPIO_4[31:0]</t>
  </si>
  <si>
    <t>QUICK_CLR_GPIO_4</t>
  </si>
  <si>
    <t>QUICK_CLR_GPIO_4[31:0]</t>
  </si>
  <si>
    <t>QUICK_SET_GPIO_5</t>
  </si>
  <si>
    <t>QUICK_SET_GPIO_5[31:0]</t>
  </si>
  <si>
    <t>QUICK_CLR_GPIO_5</t>
  </si>
  <si>
    <t>QUICK_CLR_GPIO_5[31:0]</t>
  </si>
  <si>
    <t>CUST_MK_SK
key blob</t>
  </si>
  <si>
    <t>CUST_MK_SK_BLOB</t>
  </si>
  <si>
    <t>CMPA _CRC32 (2004000 - 20041EB)</t>
  </si>
  <si>
    <t>CMPA_CRC32 for address range (0x01004000 - 0x010041EF)</t>
  </si>
  <si>
    <t>CMPA CMAC
(0x01004000 - 0x010041EF)</t>
  </si>
  <si>
    <t>CMPA_CMAC[31:0]</t>
  </si>
  <si>
    <t>CMPA_CMAC[63:32]</t>
  </si>
  <si>
    <t>CMPA_CMAC[95:64]</t>
  </si>
  <si>
    <t>CMPA_CMAC[127:96]</t>
  </si>
  <si>
    <t>0100_4200
to
0100_5FFF</t>
  </si>
  <si>
    <t>0100_6000
to
0100_7FFF</t>
  </si>
  <si>
    <t>NXP ROM extension 
- EL2GO service library, 
- Provisioning FW
- ML inference library</t>
  </si>
  <si>
    <t>NXP Manufacturing Programmable Area (NMPA)</t>
  </si>
  <si>
    <t>0100_8000
to
0100_FFFF</t>
  </si>
  <si>
    <t>NXP/Customer PRoT
- ECDSA verify (Cust_RoT, NXP_RoT)
- Direct_boot selectable by OTP field</t>
  </si>
  <si>
    <t>Recovery boot Image (32KB)</t>
  </si>
  <si>
    <t>IFR1 Address</t>
  </si>
  <si>
    <t>Field name</t>
  </si>
  <si>
    <t>0x0110_0000 - 0x0110_000F</t>
  </si>
  <si>
    <t>UUID[127:0]</t>
  </si>
  <si>
    <t>Universal Unique Identifier (UUID) programmed per part as per RFC4122 version 5 specification.</t>
  </si>
  <si>
    <t>0x0110_0010 - 0x0110_001F</t>
  </si>
  <si>
    <t>ECID[127:0]</t>
  </si>
  <si>
    <t xml:space="preserve"> NXP's Electronic Chip Identifier(ECID) used for identifying manufacturing batch the part belongs.</t>
  </si>
  <si>
    <t>0x0110_0020 - 0x0110_007F</t>
  </si>
  <si>
    <t>ELS_TRNG_CONFIG</t>
  </si>
  <si>
    <t>TRNG configuration data used for initializing the entropy source in ELS subsystem. Only first 84 bytes are used. By default boot ROM initializes the entropy source on start-up. But this data can be used to re-initialize ELS, when the ELS susbsytem is reset without complete chip reset.</t>
  </si>
  <si>
    <t>0x0110_0080 - 0x0110_008F</t>
  </si>
  <si>
    <t>0x0110_0090 - 0x0110_009F</t>
  </si>
  <si>
    <t>GDET_CONFIG0</t>
  </si>
  <si>
    <t>Digital glitch detector 0 configuration used by boot ROM.</t>
  </si>
  <si>
    <t>0x0110_00A0 - 0x0110_00AF</t>
  </si>
  <si>
    <t>GDET_CONFIG1</t>
  </si>
  <si>
    <t>Digital glitch detector 1 configuration used by boot ROM.</t>
  </si>
  <si>
    <t>0x0110_00B0 - 0x0110_01FF</t>
  </si>
  <si>
    <t>0x0110_0200 - 0x0110_05FF</t>
  </si>
  <si>
    <t>PUF_ACTIV_CODE</t>
  </si>
  <si>
    <t>PUF activation code 1000 bytes + 24 bytes header/padding used by boot ROM to initilize SRAM PUF.</t>
  </si>
  <si>
    <t>0x0110_0600 - 0x0110_0BFF</t>
  </si>
  <si>
    <t>NXP_DEV_CERT</t>
  </si>
  <si>
    <t>NXP signed device identity certificate in compressed binary format.</t>
  </si>
  <si>
    <t>0x0110_0C00 - 0x0110_0FFF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</si>
</sst>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rgb="FF006100"/>
      <name val="Calibri"/>
      <family val="2"/>
      <scheme val="minor"/>
    </font>
    <font>
      <sz val="11"/>
      <color rgb="FF9C5700"/>
      <name val="Calibri"/>
      <family val="2"/>
      <scheme val="minor"/>
    </font>
    <font>
      <sz val="11"/>
      <color rgb="FF3F3F76"/>
      <name val="Calibri"/>
      <family val="2"/>
      <scheme val="minor"/>
    </font>
    <font>
      <b/>
      <sz val="11"/>
      <color theme="0"/>
      <name val="Calibri"/>
      <family val="2"/>
      <scheme val="minor"/>
    </font>
    <font>
      <b/>
      <sz val="12"/>
      <color theme="0"/>
      <name val="Calibri"/>
      <family val="2"/>
      <scheme val="minor"/>
    </font>
    <font>
      <b/>
      <sz val="8"/>
      <color theme="1"/>
      <name val="Calibri"/>
      <family val="2"/>
      <scheme val="minor"/>
    </font>
    <font>
      <sz val="8"/>
      <color theme="1"/>
      <name val="Calibri"/>
      <family val="2"/>
      <scheme val="minor"/>
    </font>
    <font>
      <b/>
      <sz val="8"/>
      <color theme="0"/>
      <name val="Calibri"/>
      <family val="2"/>
      <scheme val="minor"/>
    </font>
    <font>
      <sz val="10"/>
      <name val="Arial"/>
      <family val="2"/>
    </font>
    <font>
      <b/>
      <sz val="48"/>
      <color theme="1"/>
      <name val="Calibri"/>
      <family val="2"/>
      <scheme val="minor"/>
    </font>
    <font>
      <b/>
      <sz val="20"/>
      <color theme="1"/>
      <name val="Calibri"/>
      <family val="2"/>
      <scheme val="minor"/>
    </font>
    <font>
      <sz val="9"/>
      <color indexed="81"/>
      <name val="Tahoma"/>
      <family val="2"/>
    </font>
    <font>
      <b/>
      <sz val="9"/>
      <color indexed="81"/>
      <name val="Tahoma"/>
      <family val="2"/>
    </font>
    <font>
      <sz val="11"/>
      <name val="Calibri"/>
      <family val="2"/>
      <scheme val="minor"/>
    </font>
    <font>
      <sz val="12"/>
      <name val="Calibri"/>
      <family val="2"/>
      <scheme val="minor"/>
    </font>
    <font>
      <b/>
      <sz val="14"/>
      <color theme="1"/>
      <name val="Calibri"/>
      <family val="2"/>
      <scheme val="minor"/>
    </font>
    <font>
      <b/>
      <sz val="26"/>
      <color theme="1"/>
      <name val="Calibri"/>
      <family val="2"/>
      <scheme val="minor"/>
    </font>
    <font>
      <sz val="10"/>
      <color theme="1"/>
      <name val="Calibri"/>
      <family val="2"/>
      <scheme val="minor"/>
    </font>
    <font>
      <sz val="11"/>
      <color rgb="FF9C5700"/>
      <name val="DengXian"/>
    </font>
    <font>
      <b/>
      <sz val="11"/>
      <color rgb="FF000000"/>
      <name val="DengXian"/>
    </font>
    <font>
      <sz val="8"/>
      <name val="Calibri"/>
      <family val="2"/>
    </font>
    <font>
      <sz val="8"/>
      <color rgb="FF000000"/>
      <name val="DengXian"/>
      <family val="2"/>
    </font>
    <font>
      <sz val="8"/>
      <color rgb="FF000000"/>
      <name val="Calibri"/>
      <family val="2"/>
    </font>
    <font>
      <sz val="10"/>
      <name val="Calibri"/>
      <family val="2"/>
      <scheme val="minor"/>
    </font>
    <font>
      <sz val="10"/>
      <name val="Calibri (Body)"/>
    </font>
    <font>
      <b/>
      <sz val="10"/>
      <color theme="0"/>
      <name val="Calibri (Body)"/>
    </font>
  </fonts>
  <fills count="24">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theme="9" tint="0.79998168889431442"/>
        <bgColor indexed="65"/>
      </patternFill>
    </fill>
    <fill>
      <patternFill patternType="solid">
        <fgColor theme="9" tint="0.59999389629810485"/>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0.89999084444715716"/>
        <bgColor indexed="64"/>
      </patternFill>
    </fill>
    <fill>
      <patternFill patternType="solid">
        <fgColor theme="1" tint="0.34998626667073579"/>
        <bgColor indexed="64"/>
      </patternFill>
    </fill>
    <fill>
      <patternFill patternType="solid">
        <fgColor rgb="FFFF00FF"/>
        <bgColor indexed="64"/>
      </patternFill>
    </fill>
    <fill>
      <patternFill patternType="solid">
        <fgColor rgb="FFFF7C80"/>
        <bgColor indexed="64"/>
      </patternFill>
    </fill>
    <fill>
      <patternFill patternType="solid">
        <fgColor theme="9" tint="-0.249977111117893"/>
        <bgColor indexed="64"/>
      </patternFill>
    </fill>
    <fill>
      <patternFill patternType="solid">
        <fgColor rgb="FFFFC000"/>
        <bgColor indexed="64"/>
      </patternFill>
    </fill>
    <fill>
      <patternFill patternType="solid">
        <fgColor theme="7" tint="-0.249977111117893"/>
        <bgColor indexed="64"/>
      </patternFill>
    </fill>
    <fill>
      <patternFill patternType="solid">
        <fgColor theme="2"/>
        <bgColor indexed="64"/>
      </patternFill>
    </fill>
    <fill>
      <patternFill patternType="solid">
        <fgColor rgb="FFFF9999"/>
        <bgColor indexed="64"/>
      </patternFill>
    </fill>
    <fill>
      <patternFill patternType="solid">
        <fgColor rgb="FFFFFFFF"/>
        <bgColor rgb="FF000000"/>
      </patternFill>
    </fill>
    <fill>
      <patternFill patternType="solid">
        <fgColor theme="9" tint="0.79998168889431442"/>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1"/>
        <bgColor indexed="64"/>
      </patternFill>
    </fill>
  </fills>
  <borders count="6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bottom/>
      <diagonal/>
    </border>
    <border>
      <left style="thin">
        <color auto="1"/>
      </left>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style="thin">
        <color indexed="64"/>
      </right>
      <top/>
      <bottom style="thin">
        <color indexed="64"/>
      </bottom>
      <diagonal/>
    </border>
    <border>
      <left/>
      <right style="medium">
        <color auto="1"/>
      </right>
      <top/>
      <bottom/>
      <diagonal/>
    </border>
    <border>
      <left style="thin">
        <color auto="1"/>
      </left>
      <right style="thin">
        <color auto="1"/>
      </right>
      <top style="medium">
        <color auto="1"/>
      </top>
      <bottom/>
      <diagonal/>
    </border>
    <border>
      <left style="thin">
        <color auto="1"/>
      </left>
      <right style="medium">
        <color auto="1"/>
      </right>
      <top style="thin">
        <color auto="1"/>
      </top>
      <bottom/>
      <diagonal/>
    </border>
    <border>
      <left style="thin">
        <color auto="1"/>
      </left>
      <right style="thin">
        <color auto="1"/>
      </right>
      <top style="dashed">
        <color auto="1"/>
      </top>
      <bottom style="dashed">
        <color auto="1"/>
      </bottom>
      <diagonal/>
    </border>
    <border>
      <left style="thin">
        <color auto="1"/>
      </left>
      <right/>
      <top style="thin">
        <color auto="1"/>
      </top>
      <bottom style="dashed">
        <color auto="1"/>
      </bottom>
      <diagonal/>
    </border>
    <border>
      <left/>
      <right/>
      <top style="thin">
        <color auto="1"/>
      </top>
      <bottom style="dashed">
        <color auto="1"/>
      </bottom>
      <diagonal/>
    </border>
    <border>
      <left/>
      <right style="medium">
        <color auto="1"/>
      </right>
      <top style="thin">
        <color auto="1"/>
      </top>
      <bottom style="dashed">
        <color auto="1"/>
      </bottom>
      <diagonal/>
    </border>
    <border>
      <left style="thin">
        <color auto="1"/>
      </left>
      <right/>
      <top style="dashed">
        <color auto="1"/>
      </top>
      <bottom style="dashed">
        <color auto="1"/>
      </bottom>
      <diagonal/>
    </border>
    <border>
      <left/>
      <right/>
      <top style="dashed">
        <color auto="1"/>
      </top>
      <bottom style="dashed">
        <color auto="1"/>
      </bottom>
      <diagonal/>
    </border>
    <border>
      <left/>
      <right style="medium">
        <color auto="1"/>
      </right>
      <top style="dashed">
        <color auto="1"/>
      </top>
      <bottom style="dashed">
        <color auto="1"/>
      </bottom>
      <diagonal/>
    </border>
    <border>
      <left/>
      <right style="thin">
        <color auto="1"/>
      </right>
      <top style="dashed">
        <color auto="1"/>
      </top>
      <bottom style="dashed">
        <color auto="1"/>
      </bottom>
      <diagonal/>
    </border>
    <border>
      <left style="thin">
        <color auto="1"/>
      </left>
      <right/>
      <top style="dashed">
        <color auto="1"/>
      </top>
      <bottom style="thin">
        <color auto="1"/>
      </bottom>
      <diagonal/>
    </border>
    <border>
      <left/>
      <right/>
      <top style="dashed">
        <color auto="1"/>
      </top>
      <bottom style="thin">
        <color auto="1"/>
      </bottom>
      <diagonal/>
    </border>
    <border>
      <left/>
      <right style="thin">
        <color auto="1"/>
      </right>
      <top style="dashed">
        <color auto="1"/>
      </top>
      <bottom style="thin">
        <color auto="1"/>
      </bottom>
      <diagonal/>
    </border>
    <border>
      <left/>
      <right style="medium">
        <color auto="1"/>
      </right>
      <top style="dashed">
        <color auto="1"/>
      </top>
      <bottom style="thin">
        <color auto="1"/>
      </bottom>
      <diagonal/>
    </border>
    <border>
      <left/>
      <right style="thin">
        <color auto="1"/>
      </right>
      <top style="thin">
        <color auto="1"/>
      </top>
      <bottom style="dashed">
        <color auto="1"/>
      </bottom>
      <diagonal/>
    </border>
    <border>
      <left style="thin">
        <color auto="1"/>
      </left>
      <right/>
      <top style="dashed">
        <color auto="1"/>
      </top>
      <bottom/>
      <diagonal/>
    </border>
    <border>
      <left/>
      <right/>
      <top style="dashed">
        <color auto="1"/>
      </top>
      <bottom/>
      <diagonal/>
    </border>
    <border>
      <left style="thin">
        <color auto="1"/>
      </left>
      <right style="medium">
        <color auto="1"/>
      </right>
      <top/>
      <bottom/>
      <diagonal/>
    </border>
    <border>
      <left style="thin">
        <color auto="1"/>
      </left>
      <right style="thin">
        <color auto="1"/>
      </right>
      <top style="thin">
        <color auto="1"/>
      </top>
      <bottom style="dashed">
        <color auto="1"/>
      </bottom>
      <diagonal/>
    </border>
    <border>
      <left style="thin">
        <color auto="1"/>
      </left>
      <right style="thin">
        <color auto="1"/>
      </right>
      <top/>
      <bottom style="medium">
        <color auto="1"/>
      </bottom>
      <diagonal/>
    </border>
    <border>
      <left/>
      <right style="medium">
        <color auto="1"/>
      </right>
      <top style="medium">
        <color auto="1"/>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right style="medium">
        <color auto="1"/>
      </right>
      <top style="thin">
        <color auto="1"/>
      </top>
      <bottom/>
      <diagonal/>
    </border>
    <border>
      <left style="thin">
        <color auto="1"/>
      </left>
      <right style="thin">
        <color auto="1"/>
      </right>
      <top style="dashed">
        <color auto="1"/>
      </top>
      <bottom style="thin">
        <color auto="1"/>
      </bottom>
      <diagonal/>
    </border>
    <border>
      <left style="thin">
        <color indexed="64"/>
      </left>
      <right/>
      <top/>
      <bottom style="thin">
        <color indexed="64"/>
      </bottom>
      <diagonal/>
    </border>
    <border>
      <left style="thin">
        <color auto="1"/>
      </left>
      <right style="thin">
        <color auto="1"/>
      </right>
      <top/>
      <bottom style="dashed">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auto="1"/>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right style="thin">
        <color auto="1"/>
      </right>
      <top style="dashed">
        <color auto="1"/>
      </top>
      <bottom/>
      <diagonal/>
    </border>
    <border>
      <left style="thin">
        <color auto="1"/>
      </left>
      <right style="thin">
        <color auto="1"/>
      </right>
      <top style="thin">
        <color auto="1"/>
      </top>
      <bottom style="medium">
        <color auto="1"/>
      </bottom>
      <diagonal/>
    </border>
    <border>
      <left style="thin">
        <color auto="1"/>
      </left>
      <right style="thin">
        <color auto="1"/>
      </right>
      <top style="dashed">
        <color auto="1"/>
      </top>
      <bottom style="medium">
        <color auto="1"/>
      </bottom>
      <diagonal/>
    </border>
    <border>
      <left style="thin">
        <color auto="1"/>
      </left>
      <right style="medium">
        <color auto="1"/>
      </right>
      <top style="dashed">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top style="thin">
        <color indexed="64"/>
      </top>
      <bottom style="thin">
        <color indexed="64"/>
      </bottom>
      <diagonal/>
    </border>
    <border>
      <left style="thin">
        <color auto="1"/>
      </left>
      <right style="thin">
        <color auto="1"/>
      </right>
      <top style="dashed">
        <color auto="1"/>
      </top>
      <bottom/>
      <diagonal/>
    </border>
    <border>
      <left style="thin">
        <color rgb="FF7F7F7F"/>
      </left>
      <right/>
      <top style="thin">
        <color auto="1"/>
      </top>
      <bottom style="thin">
        <color auto="1"/>
      </bottom>
      <diagonal/>
    </border>
    <border>
      <left style="medium">
        <color auto="1"/>
      </left>
      <right/>
      <top style="dashed">
        <color auto="1"/>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dashed">
        <color indexed="64"/>
      </top>
      <bottom style="dashed">
        <color indexed="64"/>
      </bottom>
      <diagonal/>
    </border>
    <border>
      <left style="thin">
        <color rgb="FF000000"/>
      </left>
      <right style="thin">
        <color rgb="FF000000"/>
      </right>
      <top style="thin">
        <color rgb="FF000000"/>
      </top>
      <bottom/>
      <diagonal/>
    </border>
    <border>
      <left/>
      <right style="medium">
        <color auto="1"/>
      </right>
      <top/>
      <bottom style="dashed">
        <color auto="1"/>
      </bottom>
      <diagonal/>
    </border>
    <border>
      <left/>
      <right style="medium">
        <color auto="1"/>
      </right>
      <top/>
      <bottom style="thin">
        <color indexed="64"/>
      </bottom>
      <diagonal/>
    </border>
    <border>
      <left/>
      <right style="medium">
        <color rgb="FF000000"/>
      </right>
      <top style="dashed">
        <color indexed="64"/>
      </top>
      <bottom style="thin">
        <color indexed="64"/>
      </bottom>
      <diagonal/>
    </border>
  </borders>
  <cellStyleXfs count="6">
    <xf numFmtId="0" fontId="0" fillId="0" borderId="0"/>
    <xf numFmtId="0" fontId="4" fillId="2" borderId="0" applyNumberFormat="0" applyBorder="0" applyAlignment="0" applyProtection="0"/>
    <xf numFmtId="0" fontId="5" fillId="3" borderId="0" applyNumberFormat="0" applyBorder="0" applyAlignment="0" applyProtection="0"/>
    <xf numFmtId="0" fontId="6" fillId="4" borderId="8" applyNumberFormat="0" applyAlignment="0" applyProtection="0"/>
    <xf numFmtId="0" fontId="2" fillId="5" borderId="0" applyNumberFormat="0" applyBorder="0" applyAlignment="0" applyProtection="0"/>
    <xf numFmtId="0" fontId="1" fillId="5" borderId="0" applyNumberFormat="0" applyBorder="0" applyAlignment="0" applyProtection="0"/>
  </cellStyleXfs>
  <cellXfs count="324">
    <xf numFmtId="0" fontId="0" fillId="0" borderId="0" xfId="0"/>
    <xf numFmtId="0" fontId="0" fillId="0" borderId="3" xfId="0" applyBorder="1"/>
    <xf numFmtId="49" fontId="0" fillId="0" borderId="3" xfId="0" applyNumberFormat="1" applyBorder="1"/>
    <xf numFmtId="0" fontId="9" fillId="0" borderId="0" xfId="0" applyFont="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0" xfId="0" applyFont="1" applyAlignment="1">
      <alignment horizontal="center" vertical="center"/>
    </xf>
    <xf numFmtId="0" fontId="10" fillId="0" borderId="0" xfId="0" applyFont="1"/>
    <xf numFmtId="0" fontId="10" fillId="0" borderId="4" xfId="0" applyFont="1" applyBorder="1" applyAlignment="1">
      <alignment horizontal="center" vertical="center"/>
    </xf>
    <xf numFmtId="0" fontId="10" fillId="0" borderId="2" xfId="0" applyFont="1" applyBorder="1" applyAlignment="1">
      <alignment horizontal="center" vertical="center" wrapText="1"/>
    </xf>
    <xf numFmtId="0" fontId="10" fillId="0" borderId="2" xfId="0" applyFont="1" applyBorder="1" applyAlignment="1">
      <alignment horizontal="center" vertical="center"/>
    </xf>
    <xf numFmtId="0" fontId="10" fillId="8" borderId="2" xfId="0" applyFont="1" applyFill="1" applyBorder="1"/>
    <xf numFmtId="0" fontId="10" fillId="0" borderId="14" xfId="0" applyFont="1" applyBorder="1" applyAlignment="1">
      <alignment horizontal="center" vertical="center"/>
    </xf>
    <xf numFmtId="0" fontId="10" fillId="8" borderId="14" xfId="0" applyFont="1" applyFill="1" applyBorder="1"/>
    <xf numFmtId="0" fontId="10" fillId="0" borderId="6" xfId="0" applyFont="1" applyBorder="1" applyAlignment="1">
      <alignment horizontal="center" vertical="center"/>
    </xf>
    <xf numFmtId="0" fontId="10" fillId="9" borderId="2" xfId="0" applyFont="1" applyFill="1" applyBorder="1"/>
    <xf numFmtId="0" fontId="10" fillId="0" borderId="13" xfId="0" applyFont="1" applyBorder="1" applyAlignment="1">
      <alignment horizontal="center" vertical="center"/>
    </xf>
    <xf numFmtId="0" fontId="10" fillId="8" borderId="2" xfId="0" applyFont="1" applyFill="1" applyBorder="1" applyAlignment="1">
      <alignment horizontal="center"/>
    </xf>
    <xf numFmtId="0" fontId="10" fillId="8" borderId="30" xfId="0" applyFont="1" applyFill="1" applyBorder="1" applyAlignment="1">
      <alignment horizontal="center" vertical="center"/>
    </xf>
    <xf numFmtId="0" fontId="10" fillId="8" borderId="30" xfId="0" applyFont="1" applyFill="1" applyBorder="1"/>
    <xf numFmtId="0" fontId="10" fillId="8" borderId="6" xfId="0" applyFont="1" applyFill="1" applyBorder="1" applyAlignment="1">
      <alignment horizontal="center" vertical="center"/>
    </xf>
    <xf numFmtId="0" fontId="14" fillId="12" borderId="0" xfId="0" applyFont="1" applyFill="1" applyAlignment="1">
      <alignment horizontal="left" vertical="center"/>
    </xf>
    <xf numFmtId="0" fontId="10" fillId="12" borderId="3" xfId="0" applyFont="1" applyFill="1" applyBorder="1" applyAlignment="1">
      <alignment horizontal="center" vertical="center" wrapText="1"/>
    </xf>
    <xf numFmtId="0" fontId="10" fillId="12" borderId="2" xfId="0" applyFont="1" applyFill="1" applyBorder="1" applyAlignment="1">
      <alignment horizontal="center" vertical="center"/>
    </xf>
    <xf numFmtId="0" fontId="10" fillId="0" borderId="33" xfId="0" applyFont="1" applyBorder="1" applyAlignment="1">
      <alignment horizontal="center" vertical="center"/>
    </xf>
    <xf numFmtId="0" fontId="10" fillId="0" borderId="34" xfId="0" applyFont="1" applyBorder="1" applyAlignment="1">
      <alignment horizontal="center" vertical="center"/>
    </xf>
    <xf numFmtId="0" fontId="10" fillId="0" borderId="35" xfId="0" applyFont="1" applyBorder="1" applyAlignment="1">
      <alignment horizontal="center" vertical="center"/>
    </xf>
    <xf numFmtId="0" fontId="10" fillId="0" borderId="36" xfId="0" applyFont="1" applyBorder="1" applyAlignment="1">
      <alignment horizontal="center" vertical="center"/>
    </xf>
    <xf numFmtId="0" fontId="10" fillId="0" borderId="29" xfId="0" applyFont="1" applyBorder="1" applyAlignment="1">
      <alignment horizontal="center" vertical="center"/>
    </xf>
    <xf numFmtId="0" fontId="14" fillId="13" borderId="0" xfId="0" applyFont="1" applyFill="1" applyAlignment="1">
      <alignment horizontal="left" vertical="center"/>
    </xf>
    <xf numFmtId="0" fontId="10" fillId="13" borderId="3" xfId="0" applyFont="1" applyFill="1" applyBorder="1" applyAlignment="1">
      <alignment horizontal="center" vertical="center" wrapText="1"/>
    </xf>
    <xf numFmtId="0" fontId="10" fillId="13" borderId="2" xfId="0" applyFont="1" applyFill="1" applyBorder="1" applyAlignment="1">
      <alignment horizontal="center" vertical="center"/>
    </xf>
    <xf numFmtId="0" fontId="0" fillId="0" borderId="48" xfId="0" applyBorder="1" applyAlignment="1">
      <alignment horizontal="center" vertical="center"/>
    </xf>
    <xf numFmtId="0" fontId="0" fillId="0" borderId="31" xfId="0" applyBorder="1" applyAlignment="1">
      <alignment horizontal="center" vertical="center"/>
    </xf>
    <xf numFmtId="0" fontId="10" fillId="8" borderId="49" xfId="0" applyFont="1" applyFill="1" applyBorder="1" applyAlignment="1">
      <alignment horizontal="center" vertical="center"/>
    </xf>
    <xf numFmtId="0" fontId="10" fillId="8" borderId="50" xfId="0" applyFont="1" applyFill="1" applyBorder="1" applyAlignment="1">
      <alignment horizontal="center" vertical="center"/>
    </xf>
    <xf numFmtId="0" fontId="0" fillId="0" borderId="3" xfId="0" applyBorder="1" applyAlignment="1">
      <alignment wrapText="1"/>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0" fontId="3" fillId="8" borderId="2" xfId="0" applyFont="1" applyFill="1" applyBorder="1" applyAlignment="1">
      <alignment horizontal="center" vertical="center"/>
    </xf>
    <xf numFmtId="0" fontId="10" fillId="8" borderId="58" xfId="0" applyFont="1" applyFill="1" applyBorder="1"/>
    <xf numFmtId="0" fontId="6" fillId="4" borderId="8" xfId="3" applyAlignment="1">
      <alignment horizontal="center"/>
    </xf>
    <xf numFmtId="0" fontId="10" fillId="0" borderId="3" xfId="0" applyFont="1" applyBorder="1"/>
    <xf numFmtId="0" fontId="0" fillId="6" borderId="2" xfId="0" applyFill="1" applyBorder="1" applyAlignment="1">
      <alignment horizontal="center" vertical="center"/>
    </xf>
    <xf numFmtId="0" fontId="0" fillId="6" borderId="3" xfId="0" applyFill="1" applyBorder="1" applyAlignment="1">
      <alignment horizontal="center" vertical="center"/>
    </xf>
    <xf numFmtId="0" fontId="0" fillId="6" borderId="6" xfId="0" applyFill="1" applyBorder="1" applyAlignment="1">
      <alignment horizontal="center" vertical="center"/>
    </xf>
    <xf numFmtId="0" fontId="10" fillId="9" borderId="37" xfId="0" applyFont="1" applyFill="1" applyBorder="1" applyAlignment="1">
      <alignment horizontal="center"/>
    </xf>
    <xf numFmtId="0" fontId="10" fillId="9" borderId="22" xfId="0" applyFont="1" applyFill="1" applyBorder="1" applyAlignment="1">
      <alignment horizontal="center"/>
    </xf>
    <xf numFmtId="0" fontId="10" fillId="0" borderId="1" xfId="0" applyFont="1" applyBorder="1" applyAlignment="1">
      <alignment horizontal="center" vertical="center"/>
    </xf>
    <xf numFmtId="0" fontId="10" fillId="0" borderId="18" xfId="0" applyFont="1" applyBorder="1" applyAlignment="1">
      <alignment horizontal="center" vertical="center"/>
    </xf>
    <xf numFmtId="0" fontId="10" fillId="0" borderId="1" xfId="0" quotePrefix="1" applyFont="1" applyBorder="1" applyAlignment="1">
      <alignment horizontal="center" vertical="center"/>
    </xf>
    <xf numFmtId="0" fontId="10" fillId="0" borderId="12" xfId="0" applyFont="1" applyBorder="1" applyAlignment="1">
      <alignment horizontal="center" vertical="center"/>
    </xf>
    <xf numFmtId="0" fontId="10" fillId="9" borderId="40" xfId="0" applyFont="1" applyFill="1" applyBorder="1" applyAlignment="1">
      <alignment horizontal="center"/>
    </xf>
    <xf numFmtId="0" fontId="10" fillId="9" borderId="1" xfId="0" applyFont="1" applyFill="1" applyBorder="1" applyAlignment="1">
      <alignment horizontal="center"/>
    </xf>
    <xf numFmtId="0" fontId="10" fillId="20" borderId="6" xfId="0" applyFont="1" applyFill="1" applyBorder="1" applyAlignment="1">
      <alignment horizontal="center" vertical="center" wrapText="1"/>
    </xf>
    <xf numFmtId="0" fontId="10" fillId="0" borderId="6" xfId="0" applyFont="1" applyBorder="1"/>
    <xf numFmtId="0" fontId="10" fillId="0" borderId="58" xfId="0" applyFont="1" applyBorder="1" applyAlignment="1">
      <alignment horizontal="center" vertical="center"/>
    </xf>
    <xf numFmtId="0" fontId="10" fillId="0" borderId="30" xfId="0" applyFont="1" applyBorder="1" applyAlignment="1">
      <alignment horizontal="center" vertical="center"/>
    </xf>
    <xf numFmtId="0" fontId="3" fillId="0" borderId="14" xfId="0" applyFont="1" applyBorder="1" applyAlignment="1">
      <alignment horizontal="center" vertical="center"/>
    </xf>
    <xf numFmtId="0" fontId="10" fillId="21" borderId="6" xfId="0" applyFont="1" applyFill="1" applyBorder="1" applyAlignment="1">
      <alignment horizontal="center" vertical="center"/>
    </xf>
    <xf numFmtId="0" fontId="10" fillId="0" borderId="3" xfId="0" applyFont="1" applyBorder="1" applyAlignment="1">
      <alignment horizontal="center" vertical="center"/>
    </xf>
    <xf numFmtId="0" fontId="10" fillId="0" borderId="15" xfId="0" applyFont="1" applyBorder="1" applyAlignment="1">
      <alignment horizontal="center" vertical="center"/>
    </xf>
    <xf numFmtId="0" fontId="10" fillId="0" borderId="38" xfId="0" applyFont="1" applyBorder="1" applyAlignment="1">
      <alignment horizontal="center" vertical="center"/>
    </xf>
    <xf numFmtId="0" fontId="10" fillId="6" borderId="2" xfId="0" applyFont="1" applyFill="1" applyBorder="1" applyAlignment="1">
      <alignment horizontal="center" vertical="center"/>
    </xf>
    <xf numFmtId="0" fontId="10" fillId="6" borderId="14" xfId="0" applyFont="1" applyFill="1" applyBorder="1" applyAlignment="1">
      <alignment horizontal="center" vertical="center"/>
    </xf>
    <xf numFmtId="0" fontId="10" fillId="6" borderId="6" xfId="0" applyFont="1" applyFill="1" applyBorder="1" applyAlignment="1">
      <alignment horizontal="center" vertical="center"/>
    </xf>
    <xf numFmtId="0" fontId="10" fillId="22" borderId="14" xfId="0" applyFont="1" applyFill="1" applyBorder="1" applyAlignment="1">
      <alignment horizontal="center" vertical="center"/>
    </xf>
    <xf numFmtId="0" fontId="10" fillId="20" borderId="6" xfId="0" applyFont="1" applyFill="1" applyBorder="1" applyAlignment="1">
      <alignment horizontal="center" vertical="center"/>
    </xf>
    <xf numFmtId="0" fontId="28" fillId="0" borderId="1" xfId="0" applyFont="1" applyBorder="1"/>
    <xf numFmtId="0" fontId="28" fillId="0" borderId="1" xfId="0" applyFont="1" applyBorder="1" applyAlignment="1">
      <alignment wrapText="1"/>
    </xf>
    <xf numFmtId="49" fontId="28" fillId="0" borderId="1" xfId="0" quotePrefix="1" applyNumberFormat="1" applyFont="1" applyBorder="1" applyAlignment="1">
      <alignment horizontal="center" vertical="center"/>
    </xf>
    <xf numFmtId="0" fontId="27" fillId="0" borderId="1" xfId="0" applyFont="1" applyBorder="1"/>
    <xf numFmtId="0" fontId="27" fillId="0" borderId="1" xfId="1" applyFont="1" applyFill="1" applyBorder="1"/>
    <xf numFmtId="49" fontId="29" fillId="23" borderId="1" xfId="0" applyNumberFormat="1" applyFont="1" applyFill="1" applyBorder="1"/>
    <xf numFmtId="0" fontId="29" fillId="23" borderId="1" xfId="0" applyFont="1" applyFill="1" applyBorder="1" applyAlignment="1">
      <alignment wrapText="1"/>
    </xf>
    <xf numFmtId="0" fontId="10" fillId="8" borderId="14" xfId="0" applyFont="1" applyFill="1" applyBorder="1" applyAlignment="1">
      <alignment horizontal="center"/>
    </xf>
    <xf numFmtId="0" fontId="10" fillId="8" borderId="6" xfId="0" applyFont="1" applyFill="1" applyBorder="1" applyAlignment="1">
      <alignment horizontal="center"/>
    </xf>
    <xf numFmtId="0" fontId="10" fillId="0" borderId="1" xfId="0" quotePrefix="1" applyFont="1" applyBorder="1" applyAlignment="1">
      <alignment horizontal="center" vertical="center"/>
    </xf>
    <xf numFmtId="0" fontId="0" fillId="0" borderId="1" xfId="0" applyBorder="1" applyAlignment="1">
      <alignment horizontal="center" vertical="center"/>
    </xf>
    <xf numFmtId="0" fontId="13" fillId="12" borderId="32" xfId="0" applyFont="1" applyFill="1" applyBorder="1" applyAlignment="1">
      <alignment horizontal="center" vertical="center" textRotation="90"/>
    </xf>
    <xf numFmtId="0" fontId="0" fillId="0" borderId="11" xfId="0" applyBorder="1" applyAlignment="1">
      <alignment horizontal="center" vertical="center" textRotation="90"/>
    </xf>
    <xf numFmtId="0" fontId="10" fillId="0" borderId="12" xfId="0" applyFont="1" applyBorder="1" applyAlignment="1">
      <alignment horizontal="center" vertical="center"/>
    </xf>
    <xf numFmtId="49" fontId="10" fillId="0" borderId="3" xfId="0" applyNumberFormat="1" applyFont="1" applyBorder="1" applyAlignment="1">
      <alignment horizontal="center" vertical="center"/>
    </xf>
    <xf numFmtId="49" fontId="10" fillId="0" borderId="6" xfId="0" applyNumberFormat="1" applyFont="1" applyBorder="1" applyAlignment="1">
      <alignment horizontal="center" vertical="center"/>
    </xf>
    <xf numFmtId="0" fontId="22" fillId="3" borderId="51" xfId="2" applyFont="1" applyBorder="1" applyAlignment="1">
      <alignment horizontal="left" vertical="center"/>
    </xf>
    <xf numFmtId="0" fontId="0" fillId="0" borderId="52" xfId="0" applyBorder="1" applyAlignment="1">
      <alignment horizontal="left" vertical="center"/>
    </xf>
    <xf numFmtId="0" fontId="0" fillId="0" borderId="53" xfId="0" applyBorder="1" applyAlignment="1">
      <alignment horizontal="left" vertical="center"/>
    </xf>
    <xf numFmtId="0" fontId="7" fillId="7" borderId="52" xfId="2" applyFont="1" applyFill="1" applyBorder="1" applyAlignment="1">
      <alignment horizontal="center" vertical="center"/>
    </xf>
    <xf numFmtId="0" fontId="8" fillId="7" borderId="52" xfId="0" applyFont="1" applyFill="1" applyBorder="1" applyAlignment="1">
      <alignment horizontal="center" vertical="center"/>
    </xf>
    <xf numFmtId="0" fontId="17" fillId="9" borderId="40" xfId="2" applyFont="1" applyFill="1" applyBorder="1" applyAlignment="1">
      <alignment horizontal="center" vertical="center"/>
    </xf>
    <xf numFmtId="0" fontId="18" fillId="9" borderId="41" xfId="0" applyFont="1" applyFill="1" applyBorder="1" applyAlignment="1">
      <alignment horizontal="center" vertical="center"/>
    </xf>
    <xf numFmtId="0" fontId="18" fillId="9" borderId="43" xfId="0" applyFont="1" applyFill="1" applyBorder="1" applyAlignment="1">
      <alignment horizontal="center" vertical="center"/>
    </xf>
    <xf numFmtId="0" fontId="6" fillId="4" borderId="40" xfId="3" applyBorder="1" applyAlignment="1">
      <alignment horizontal="center"/>
    </xf>
    <xf numFmtId="0" fontId="6" fillId="4" borderId="41" xfId="3" applyBorder="1" applyAlignment="1">
      <alignment horizontal="center"/>
    </xf>
    <xf numFmtId="0" fontId="6" fillId="4" borderId="43" xfId="3" applyBorder="1" applyAlignment="1">
      <alignment horizontal="center"/>
    </xf>
    <xf numFmtId="0" fontId="21" fillId="17" borderId="15" xfId="0" applyFont="1" applyFill="1" applyBorder="1" applyAlignment="1">
      <alignment horizontal="center"/>
    </xf>
    <xf numFmtId="0" fontId="21" fillId="17" borderId="16" xfId="0" applyFont="1" applyFill="1" applyBorder="1" applyAlignment="1">
      <alignment horizontal="center"/>
    </xf>
    <xf numFmtId="0" fontId="21" fillId="17" borderId="17" xfId="0" applyFont="1" applyFill="1" applyBorder="1" applyAlignment="1">
      <alignment horizontal="center"/>
    </xf>
    <xf numFmtId="0" fontId="6" fillId="4" borderId="8" xfId="3" applyAlignment="1">
      <alignment horizontal="center" vertical="center"/>
    </xf>
    <xf numFmtId="0" fontId="0" fillId="0" borderId="59" xfId="0" applyBorder="1" applyAlignment="1">
      <alignment horizontal="center"/>
    </xf>
    <xf numFmtId="0" fontId="0" fillId="0" borderId="41" xfId="0" applyBorder="1" applyAlignment="1">
      <alignment horizontal="center"/>
    </xf>
    <xf numFmtId="0" fontId="0" fillId="0" borderId="43" xfId="0" applyBorder="1" applyAlignment="1">
      <alignment horizontal="center"/>
    </xf>
    <xf numFmtId="0" fontId="21" fillId="9" borderId="15" xfId="0" applyFont="1" applyFill="1" applyBorder="1" applyAlignment="1">
      <alignment horizontal="center"/>
    </xf>
    <xf numFmtId="0" fontId="21" fillId="9" borderId="16" xfId="0" applyFont="1" applyFill="1" applyBorder="1" applyAlignment="1">
      <alignment horizontal="center"/>
    </xf>
    <xf numFmtId="0" fontId="21" fillId="9" borderId="17" xfId="0" applyFont="1" applyFill="1" applyBorder="1" applyAlignment="1">
      <alignment horizontal="center"/>
    </xf>
    <xf numFmtId="0" fontId="21" fillId="9" borderId="22" xfId="0" applyFont="1" applyFill="1" applyBorder="1" applyAlignment="1">
      <alignment horizontal="center" vertical="center"/>
    </xf>
    <xf numFmtId="0" fontId="21" fillId="9" borderId="23" xfId="0" applyFont="1" applyFill="1" applyBorder="1" applyAlignment="1">
      <alignment horizontal="center" vertical="center"/>
    </xf>
    <xf numFmtId="0" fontId="21" fillId="9" borderId="25" xfId="0" applyFont="1" applyFill="1" applyBorder="1" applyAlignment="1">
      <alignment horizontal="center" vertical="center"/>
    </xf>
    <xf numFmtId="0" fontId="10" fillId="0" borderId="1" xfId="0" applyFont="1" applyBorder="1" applyAlignment="1">
      <alignment horizontal="center" vertical="center"/>
    </xf>
    <xf numFmtId="0" fontId="21" fillId="9" borderId="22" xfId="0" applyFont="1" applyFill="1" applyBorder="1" applyAlignment="1">
      <alignment horizontal="center"/>
    </xf>
    <xf numFmtId="0" fontId="21" fillId="9" borderId="23" xfId="0" applyFont="1" applyFill="1" applyBorder="1" applyAlignment="1">
      <alignment horizontal="center"/>
    </xf>
    <xf numFmtId="0" fontId="21" fillId="9" borderId="24" xfId="0" applyFont="1" applyFill="1" applyBorder="1" applyAlignment="1">
      <alignment horizontal="center"/>
    </xf>
    <xf numFmtId="0" fontId="10" fillId="8" borderId="22" xfId="0" applyFont="1" applyFill="1" applyBorder="1" applyAlignment="1">
      <alignment horizontal="center"/>
    </xf>
    <xf numFmtId="0" fontId="10" fillId="8" borderId="23" xfId="0" applyFont="1" applyFill="1" applyBorder="1" applyAlignment="1">
      <alignment horizontal="center"/>
    </xf>
    <xf numFmtId="0" fontId="10" fillId="8" borderId="24" xfId="0" applyFont="1" applyFill="1" applyBorder="1" applyAlignment="1">
      <alignment horizontal="center"/>
    </xf>
    <xf numFmtId="0" fontId="10" fillId="9" borderId="18" xfId="0" applyFont="1" applyFill="1" applyBorder="1" applyAlignment="1">
      <alignment horizontal="center"/>
    </xf>
    <xf numFmtId="0" fontId="0" fillId="9" borderId="20" xfId="0" applyFill="1" applyBorder="1" applyAlignment="1">
      <alignment horizontal="center"/>
    </xf>
    <xf numFmtId="0" fontId="10" fillId="8" borderId="38" xfId="0" applyFont="1" applyFill="1" applyBorder="1" applyAlignment="1">
      <alignment horizontal="center"/>
    </xf>
    <xf numFmtId="0" fontId="10" fillId="8" borderId="9" xfId="0" applyFont="1" applyFill="1" applyBorder="1" applyAlignment="1">
      <alignment horizontal="center"/>
    </xf>
    <xf numFmtId="0" fontId="10" fillId="8" borderId="10" xfId="0" applyFont="1" applyFill="1" applyBorder="1" applyAlignment="1">
      <alignment horizontal="center"/>
    </xf>
    <xf numFmtId="0" fontId="21" fillId="9" borderId="33" xfId="0" applyFont="1" applyFill="1" applyBorder="1" applyAlignment="1">
      <alignment horizontal="center"/>
    </xf>
    <xf numFmtId="0" fontId="21" fillId="9" borderId="34" xfId="0" applyFont="1" applyFill="1" applyBorder="1" applyAlignment="1">
      <alignment horizontal="center"/>
    </xf>
    <xf numFmtId="0" fontId="21" fillId="9" borderId="36" xfId="0" applyFont="1" applyFill="1" applyBorder="1" applyAlignment="1">
      <alignment horizontal="center"/>
    </xf>
    <xf numFmtId="0" fontId="21" fillId="9" borderId="61" xfId="0" applyFont="1" applyFill="1" applyBorder="1" applyAlignment="1">
      <alignment horizontal="center"/>
    </xf>
    <xf numFmtId="0" fontId="21" fillId="9" borderId="62" xfId="0" applyFont="1" applyFill="1" applyBorder="1" applyAlignment="1">
      <alignment horizontal="center"/>
    </xf>
    <xf numFmtId="0" fontId="21" fillId="9" borderId="63" xfId="0" applyFont="1" applyFill="1" applyBorder="1" applyAlignment="1">
      <alignment horizontal="center"/>
    </xf>
    <xf numFmtId="0" fontId="21" fillId="9" borderId="44" xfId="0" applyFont="1" applyFill="1" applyBorder="1" applyAlignment="1">
      <alignment horizontal="center"/>
    </xf>
    <xf numFmtId="0" fontId="21" fillId="9" borderId="45" xfId="0" applyFont="1" applyFill="1" applyBorder="1" applyAlignment="1">
      <alignment horizontal="center"/>
    </xf>
    <xf numFmtId="0" fontId="21" fillId="9" borderId="66" xfId="0" applyFont="1" applyFill="1" applyBorder="1" applyAlignment="1">
      <alignment horizontal="center"/>
    </xf>
    <xf numFmtId="0" fontId="0" fillId="17" borderId="40" xfId="0" applyFill="1" applyBorder="1" applyAlignment="1">
      <alignment horizontal="center"/>
    </xf>
    <xf numFmtId="0" fontId="0" fillId="17" borderId="41" xfId="0" applyFill="1" applyBorder="1" applyAlignment="1">
      <alignment horizontal="center"/>
    </xf>
    <xf numFmtId="0" fontId="0" fillId="9" borderId="41" xfId="0" applyFill="1" applyBorder="1" applyAlignment="1">
      <alignment horizontal="center"/>
    </xf>
    <xf numFmtId="0" fontId="0" fillId="0" borderId="42" xfId="0" applyBorder="1" applyAlignment="1">
      <alignment horizontal="center"/>
    </xf>
    <xf numFmtId="0" fontId="11" fillId="10" borderId="22" xfId="0" applyFont="1" applyFill="1" applyBorder="1" applyAlignment="1">
      <alignment horizontal="center" vertical="center"/>
    </xf>
    <xf numFmtId="0" fontId="7" fillId="10" borderId="23" xfId="0" applyFont="1" applyFill="1" applyBorder="1" applyAlignment="1">
      <alignment horizontal="center" vertical="center"/>
    </xf>
    <xf numFmtId="0" fontId="7" fillId="10" borderId="24" xfId="0" applyFont="1" applyFill="1" applyBorder="1" applyAlignment="1">
      <alignment horizontal="center" vertical="center"/>
    </xf>
    <xf numFmtId="0" fontId="10" fillId="9" borderId="22" xfId="0" applyFont="1" applyFill="1" applyBorder="1" applyAlignment="1">
      <alignment horizontal="center" vertical="center"/>
    </xf>
    <xf numFmtId="0" fontId="0" fillId="9" borderId="23" xfId="0" applyFill="1" applyBorder="1" applyAlignment="1">
      <alignment horizontal="center" vertical="center"/>
    </xf>
    <xf numFmtId="0" fontId="0" fillId="9" borderId="25" xfId="0" applyFill="1" applyBorder="1" applyAlignment="1">
      <alignment horizontal="center" vertical="center"/>
    </xf>
    <xf numFmtId="0" fontId="11" fillId="11" borderId="15" xfId="0" applyFont="1" applyFill="1" applyBorder="1" applyAlignment="1">
      <alignment horizontal="center"/>
    </xf>
    <xf numFmtId="0" fontId="7" fillId="11" borderId="16" xfId="0" applyFont="1" applyFill="1" applyBorder="1" applyAlignment="1">
      <alignment horizontal="center"/>
    </xf>
    <xf numFmtId="0" fontId="7" fillId="11" borderId="26" xfId="0" applyFont="1" applyFill="1" applyBorder="1" applyAlignment="1">
      <alignment horizontal="center"/>
    </xf>
    <xf numFmtId="0" fontId="11" fillId="11" borderId="40" xfId="0" applyFont="1" applyFill="1" applyBorder="1" applyAlignment="1">
      <alignment horizontal="center"/>
    </xf>
    <xf numFmtId="0" fontId="21" fillId="9" borderId="40" xfId="0" applyFont="1" applyFill="1" applyBorder="1" applyAlignment="1">
      <alignment horizontal="center"/>
    </xf>
    <xf numFmtId="0" fontId="21" fillId="0" borderId="41" xfId="0" applyFont="1" applyBorder="1" applyAlignment="1">
      <alignment horizontal="center"/>
    </xf>
    <xf numFmtId="0" fontId="21" fillId="0" borderId="42" xfId="0" applyFont="1" applyBorder="1" applyAlignment="1">
      <alignment horizontal="center"/>
    </xf>
    <xf numFmtId="0" fontId="21" fillId="9" borderId="41" xfId="0" applyFont="1" applyFill="1" applyBorder="1" applyAlignment="1">
      <alignment horizontal="center"/>
    </xf>
    <xf numFmtId="0" fontId="21" fillId="9" borderId="42" xfId="0" applyFont="1" applyFill="1" applyBorder="1" applyAlignment="1">
      <alignment horizontal="center"/>
    </xf>
    <xf numFmtId="0" fontId="10" fillId="9" borderId="15" xfId="0" applyFont="1" applyFill="1" applyBorder="1" applyAlignment="1">
      <alignment horizontal="center"/>
    </xf>
    <xf numFmtId="0" fontId="0" fillId="9" borderId="16" xfId="0" applyFill="1" applyBorder="1" applyAlignment="1">
      <alignment horizontal="center"/>
    </xf>
    <xf numFmtId="0" fontId="0" fillId="9" borderId="26" xfId="0" applyFill="1" applyBorder="1" applyAlignment="1">
      <alignment horizontal="center"/>
    </xf>
    <xf numFmtId="0" fontId="21" fillId="0" borderId="15" xfId="0" applyFont="1" applyBorder="1" applyAlignment="1">
      <alignment horizontal="center" vertical="center"/>
    </xf>
    <xf numFmtId="0" fontId="21" fillId="0" borderId="16" xfId="0"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19" xfId="0" applyFont="1" applyBorder="1" applyAlignment="1">
      <alignment horizontal="center" vertical="center"/>
    </xf>
    <xf numFmtId="0" fontId="21" fillId="0" borderId="20" xfId="0" applyFont="1" applyBorder="1" applyAlignment="1">
      <alignment horizontal="center" vertical="center"/>
    </xf>
    <xf numFmtId="0" fontId="21" fillId="0" borderId="22" xfId="0" applyFont="1" applyBorder="1" applyAlignment="1">
      <alignment horizontal="center" vertical="center"/>
    </xf>
    <xf numFmtId="0" fontId="21" fillId="0" borderId="23" xfId="0" applyFont="1" applyBorder="1" applyAlignment="1">
      <alignment horizontal="center" vertical="center"/>
    </xf>
    <xf numFmtId="0" fontId="21" fillId="0" borderId="25" xfId="0" applyFont="1" applyBorder="1" applyAlignment="1">
      <alignment horizontal="center" vertical="center"/>
    </xf>
    <xf numFmtId="0" fontId="10" fillId="9" borderId="40" xfId="0" applyFont="1" applyFill="1" applyBorder="1" applyAlignment="1">
      <alignment horizontal="center"/>
    </xf>
    <xf numFmtId="0" fontId="10" fillId="9" borderId="41" xfId="0" applyFont="1" applyFill="1" applyBorder="1" applyAlignment="1">
      <alignment horizontal="center"/>
    </xf>
    <xf numFmtId="0" fontId="10" fillId="9" borderId="43" xfId="0" applyFont="1" applyFill="1" applyBorder="1" applyAlignment="1">
      <alignment horizontal="center"/>
    </xf>
    <xf numFmtId="0" fontId="10" fillId="9" borderId="16" xfId="0" applyFont="1" applyFill="1" applyBorder="1" applyAlignment="1">
      <alignment horizontal="center"/>
    </xf>
    <xf numFmtId="0" fontId="10" fillId="9" borderId="26" xfId="0" applyFont="1" applyFill="1" applyBorder="1" applyAlignment="1">
      <alignment horizontal="center"/>
    </xf>
    <xf numFmtId="0" fontId="10" fillId="0" borderId="1" xfId="0" applyFont="1" applyBorder="1" applyAlignment="1">
      <alignment horizontal="center" vertical="center" wrapText="1"/>
    </xf>
    <xf numFmtId="0" fontId="19" fillId="14" borderId="2" xfId="0" applyFont="1" applyFill="1" applyBorder="1" applyAlignment="1">
      <alignment horizontal="center" vertical="center"/>
    </xf>
    <xf numFmtId="0" fontId="19" fillId="0" borderId="3" xfId="0" applyFont="1" applyBorder="1" applyAlignment="1">
      <alignment horizontal="center" vertical="center"/>
    </xf>
    <xf numFmtId="0" fontId="19" fillId="0" borderId="6" xfId="0" applyFont="1" applyBorder="1" applyAlignment="1">
      <alignment horizontal="center" vertical="center"/>
    </xf>
    <xf numFmtId="0" fontId="10" fillId="0" borderId="15"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10" fillId="0" borderId="18"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10" fillId="0" borderId="22" xfId="0" applyFont="1" applyBorder="1" applyAlignment="1">
      <alignment horizontal="center" vertical="center"/>
    </xf>
    <xf numFmtId="0" fontId="0" fillId="0" borderId="23" xfId="0" applyBorder="1" applyAlignment="1">
      <alignment horizontal="center" vertical="center"/>
    </xf>
    <xf numFmtId="0" fontId="0" fillId="0" borderId="25" xfId="0" applyBorder="1" applyAlignment="1">
      <alignment horizontal="center" vertical="center"/>
    </xf>
    <xf numFmtId="0" fontId="21" fillId="0" borderId="22" xfId="0" applyFont="1" applyBorder="1" applyAlignment="1">
      <alignment horizontal="center"/>
    </xf>
    <xf numFmtId="0" fontId="21" fillId="0" borderId="23" xfId="0" applyFont="1" applyBorder="1" applyAlignment="1">
      <alignment horizontal="center"/>
    </xf>
    <xf numFmtId="0" fontId="21" fillId="0" borderId="24" xfId="0" applyFont="1" applyBorder="1" applyAlignment="1">
      <alignment horizontal="center"/>
    </xf>
    <xf numFmtId="0" fontId="12" fillId="20" borderId="3" xfId="0" applyFont="1" applyFill="1" applyBorder="1" applyAlignment="1">
      <alignment horizontal="center" vertical="center" wrapText="1"/>
    </xf>
    <xf numFmtId="0" fontId="0" fillId="20" borderId="3" xfId="0" applyFill="1" applyBorder="1" applyAlignment="1">
      <alignment horizontal="center" vertical="center"/>
    </xf>
    <xf numFmtId="0" fontId="0" fillId="20" borderId="6" xfId="0" applyFill="1" applyBorder="1" applyAlignment="1">
      <alignment horizontal="center" vertical="center"/>
    </xf>
    <xf numFmtId="0" fontId="10" fillId="9" borderId="33" xfId="0" applyFont="1" applyFill="1" applyBorder="1" applyAlignment="1">
      <alignment horizontal="center"/>
    </xf>
    <xf numFmtId="0" fontId="10" fillId="9" borderId="34" xfId="0" applyFont="1" applyFill="1" applyBorder="1" applyAlignment="1">
      <alignment horizontal="center"/>
    </xf>
    <xf numFmtId="0" fontId="10" fillId="9" borderId="35" xfId="0" applyFont="1" applyFill="1" applyBorder="1" applyAlignment="1">
      <alignment horizontal="center"/>
    </xf>
    <xf numFmtId="0" fontId="0" fillId="9" borderId="35" xfId="0" applyFill="1" applyBorder="1" applyAlignment="1">
      <alignment horizontal="center"/>
    </xf>
    <xf numFmtId="0" fontId="10" fillId="8" borderId="33" xfId="0" applyFont="1" applyFill="1" applyBorder="1" applyAlignment="1">
      <alignment horizontal="center"/>
    </xf>
    <xf numFmtId="0" fontId="10" fillId="8" borderId="34" xfId="0" applyFont="1" applyFill="1" applyBorder="1" applyAlignment="1">
      <alignment horizontal="center"/>
    </xf>
    <xf numFmtId="0" fontId="10" fillId="8" borderId="35" xfId="0" applyFont="1" applyFill="1" applyBorder="1" applyAlignment="1">
      <alignment horizontal="center"/>
    </xf>
    <xf numFmtId="0" fontId="0" fillId="0" borderId="16" xfId="0" applyBorder="1" applyAlignment="1">
      <alignment horizontal="center"/>
    </xf>
    <xf numFmtId="0" fontId="10" fillId="9" borderId="7" xfId="0" applyFont="1" applyFill="1" applyBorder="1" applyAlignment="1">
      <alignment horizontal="center"/>
    </xf>
    <xf numFmtId="0" fontId="0" fillId="9" borderId="7" xfId="0" applyFill="1" applyBorder="1" applyAlignment="1">
      <alignment horizontal="center"/>
    </xf>
    <xf numFmtId="0" fontId="22" fillId="3" borderId="51" xfId="2" applyFont="1" applyBorder="1" applyAlignment="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0" fontId="25" fillId="19" borderId="33" xfId="0" applyFont="1" applyFill="1" applyBorder="1" applyAlignment="1">
      <alignment horizontal="center"/>
    </xf>
    <xf numFmtId="0" fontId="25" fillId="19" borderId="34" xfId="0" applyFont="1" applyFill="1" applyBorder="1" applyAlignment="1">
      <alignment horizontal="center"/>
    </xf>
    <xf numFmtId="0" fontId="25" fillId="19" borderId="0" xfId="0" applyFont="1" applyFill="1" applyAlignment="1">
      <alignment horizontal="center"/>
    </xf>
    <xf numFmtId="0" fontId="3" fillId="0" borderId="22" xfId="0" applyFont="1" applyBorder="1" applyAlignment="1" applyProtection="1">
      <alignment horizontal="center"/>
      <protection locked="0"/>
    </xf>
    <xf numFmtId="0" fontId="3" fillId="0" borderId="23" xfId="0" applyFont="1" applyBorder="1" applyAlignment="1" applyProtection="1">
      <alignment horizontal="center"/>
      <protection locked="0"/>
    </xf>
    <xf numFmtId="0" fontId="3" fillId="0" borderId="7" xfId="0" applyFont="1" applyBorder="1" applyAlignment="1" applyProtection="1">
      <alignment horizontal="center"/>
      <protection locked="0"/>
    </xf>
    <xf numFmtId="0" fontId="3" fillId="0" borderId="65" xfId="0" applyFont="1" applyBorder="1" applyAlignment="1" applyProtection="1">
      <alignment horizontal="center"/>
      <protection locked="0"/>
    </xf>
    <xf numFmtId="0" fontId="10" fillId="8" borderId="15" xfId="0" applyFont="1" applyFill="1" applyBorder="1" applyAlignment="1">
      <alignment horizontal="center"/>
    </xf>
    <xf numFmtId="0" fontId="10" fillId="8" borderId="26" xfId="0" applyFont="1" applyFill="1" applyBorder="1" applyAlignment="1">
      <alignment horizontal="center"/>
    </xf>
    <xf numFmtId="0" fontId="10" fillId="0" borderId="15" xfId="0" applyFont="1" applyBorder="1" applyAlignment="1">
      <alignment horizontal="center"/>
    </xf>
    <xf numFmtId="0" fontId="10" fillId="0" borderId="16" xfId="0" applyFont="1" applyBorder="1" applyAlignment="1">
      <alignment horizontal="center"/>
    </xf>
    <xf numFmtId="0" fontId="10" fillId="0" borderId="26" xfId="0" applyFont="1" applyBorder="1" applyAlignment="1">
      <alignment horizontal="center"/>
    </xf>
    <xf numFmtId="0" fontId="10" fillId="0" borderId="40" xfId="0" applyFont="1" applyBorder="1" applyAlignment="1">
      <alignment horizontal="center"/>
    </xf>
    <xf numFmtId="0" fontId="10" fillId="0" borderId="41" xfId="0" applyFont="1" applyBorder="1" applyAlignment="1">
      <alignment horizontal="center"/>
    </xf>
    <xf numFmtId="0" fontId="10" fillId="0" borderId="43" xfId="0" applyFont="1" applyBorder="1" applyAlignment="1">
      <alignment horizontal="center"/>
    </xf>
    <xf numFmtId="0" fontId="10" fillId="0" borderId="10" xfId="0" applyFont="1" applyBorder="1" applyAlignment="1">
      <alignment horizontal="center"/>
    </xf>
    <xf numFmtId="0" fontId="10" fillId="0" borderId="44" xfId="0" applyFont="1" applyBorder="1" applyAlignment="1">
      <alignment horizontal="center"/>
    </xf>
    <xf numFmtId="0" fontId="10" fillId="0" borderId="45" xfId="0" applyFont="1" applyBorder="1" applyAlignment="1">
      <alignment horizontal="center"/>
    </xf>
    <xf numFmtId="0" fontId="10" fillId="0" borderId="46" xfId="0" applyFont="1" applyBorder="1" applyAlignment="1">
      <alignment horizontal="center"/>
    </xf>
    <xf numFmtId="0" fontId="10" fillId="8" borderId="18" xfId="0" applyFont="1" applyFill="1" applyBorder="1" applyAlignment="1">
      <alignment horizontal="center"/>
    </xf>
    <xf numFmtId="0" fontId="10" fillId="8" borderId="19" xfId="0" applyFont="1" applyFill="1" applyBorder="1" applyAlignment="1">
      <alignment horizontal="center"/>
    </xf>
    <xf numFmtId="0" fontId="10" fillId="8" borderId="21" xfId="0" applyFont="1" applyFill="1" applyBorder="1" applyAlignment="1">
      <alignment horizontal="center"/>
    </xf>
    <xf numFmtId="0" fontId="25" fillId="19" borderId="15" xfId="0" applyFont="1" applyFill="1" applyBorder="1" applyAlignment="1">
      <alignment horizontal="center"/>
    </xf>
    <xf numFmtId="0" fontId="25" fillId="19" borderId="16" xfId="0" applyFont="1" applyFill="1" applyBorder="1" applyAlignment="1">
      <alignment horizontal="center"/>
    </xf>
    <xf numFmtId="0" fontId="10" fillId="8" borderId="40" xfId="0" applyFont="1" applyFill="1" applyBorder="1" applyAlignment="1">
      <alignment horizontal="center"/>
    </xf>
    <xf numFmtId="0" fontId="10" fillId="8" borderId="41" xfId="0" applyFont="1" applyFill="1" applyBorder="1" applyAlignment="1">
      <alignment horizontal="center"/>
    </xf>
    <xf numFmtId="0" fontId="10" fillId="8" borderId="43" xfId="0" applyFont="1" applyFill="1" applyBorder="1" applyAlignment="1">
      <alignment horizontal="center"/>
    </xf>
    <xf numFmtId="0" fontId="10" fillId="0" borderId="7" xfId="0" applyFont="1" applyBorder="1" applyAlignment="1">
      <alignment horizontal="center"/>
    </xf>
    <xf numFmtId="0" fontId="10" fillId="0" borderId="19" xfId="0" applyFont="1" applyBorder="1" applyAlignment="1">
      <alignment horizontal="center"/>
    </xf>
    <xf numFmtId="0" fontId="10" fillId="0" borderId="20" xfId="0" applyFont="1" applyBorder="1" applyAlignment="1">
      <alignment horizontal="center"/>
    </xf>
    <xf numFmtId="0" fontId="10" fillId="8" borderId="16" xfId="0" applyFont="1" applyFill="1" applyBorder="1" applyAlignment="1">
      <alignment horizontal="center"/>
    </xf>
    <xf numFmtId="0" fontId="10" fillId="0" borderId="22" xfId="0" applyFont="1" applyBorder="1" applyAlignment="1">
      <alignment horizontal="center"/>
    </xf>
    <xf numFmtId="0" fontId="10" fillId="0" borderId="24" xfId="0" applyFont="1" applyBorder="1" applyAlignment="1">
      <alignment horizontal="center"/>
    </xf>
    <xf numFmtId="0" fontId="10" fillId="8" borderId="27" xfId="0" applyFont="1" applyFill="1" applyBorder="1" applyAlignment="1">
      <alignment horizontal="center"/>
    </xf>
    <xf numFmtId="0" fontId="10" fillId="8" borderId="28" xfId="0" applyFont="1" applyFill="1" applyBorder="1" applyAlignment="1">
      <alignment horizontal="center"/>
    </xf>
    <xf numFmtId="0" fontId="10" fillId="8" borderId="47" xfId="0" applyFont="1" applyFill="1" applyBorder="1" applyAlignment="1">
      <alignment horizontal="center"/>
    </xf>
    <xf numFmtId="0" fontId="10" fillId="8" borderId="44" xfId="0" applyFont="1" applyFill="1" applyBorder="1" applyAlignment="1">
      <alignment horizontal="center"/>
    </xf>
    <xf numFmtId="0" fontId="10" fillId="8" borderId="46" xfId="0" applyFont="1" applyFill="1" applyBorder="1" applyAlignment="1">
      <alignment horizontal="center"/>
    </xf>
    <xf numFmtId="0" fontId="24" fillId="19" borderId="18" xfId="0" applyFont="1" applyFill="1" applyBorder="1" applyAlignment="1">
      <alignment horizontal="center"/>
    </xf>
    <xf numFmtId="0" fontId="24" fillId="19" borderId="19" xfId="0" applyFont="1" applyFill="1" applyBorder="1" applyAlignment="1">
      <alignment horizontal="center"/>
    </xf>
    <xf numFmtId="0" fontId="24" fillId="19" borderId="64" xfId="0" applyFont="1" applyFill="1" applyBorder="1" applyAlignment="1">
      <alignment horizontal="center"/>
    </xf>
    <xf numFmtId="0" fontId="26" fillId="19" borderId="22" xfId="0" applyFont="1" applyFill="1" applyBorder="1" applyAlignment="1">
      <alignment horizontal="center"/>
    </xf>
    <xf numFmtId="0" fontId="25" fillId="19" borderId="23" xfId="0" applyFont="1" applyFill="1" applyBorder="1" applyAlignment="1">
      <alignment horizontal="center"/>
    </xf>
    <xf numFmtId="0" fontId="11" fillId="11" borderId="33" xfId="0" applyFont="1" applyFill="1" applyBorder="1" applyAlignment="1">
      <alignment horizontal="center"/>
    </xf>
    <xf numFmtId="0" fontId="7" fillId="11" borderId="34" xfId="0" applyFont="1" applyFill="1" applyBorder="1" applyAlignment="1">
      <alignment horizontal="center"/>
    </xf>
    <xf numFmtId="0" fontId="7" fillId="11" borderId="35" xfId="0" applyFont="1" applyFill="1" applyBorder="1" applyAlignment="1">
      <alignment horizontal="center"/>
    </xf>
    <xf numFmtId="0" fontId="11" fillId="11" borderId="18" xfId="0" applyFont="1" applyFill="1" applyBorder="1" applyAlignment="1">
      <alignment horizontal="center"/>
    </xf>
    <xf numFmtId="0" fontId="7" fillId="11" borderId="19" xfId="0" applyFont="1" applyFill="1" applyBorder="1" applyAlignment="1">
      <alignment horizontal="center"/>
    </xf>
    <xf numFmtId="0" fontId="7" fillId="11" borderId="21" xfId="0" applyFont="1" applyFill="1" applyBorder="1" applyAlignment="1">
      <alignment horizontal="center"/>
    </xf>
    <xf numFmtId="0" fontId="0" fillId="9" borderId="19" xfId="0" applyFill="1" applyBorder="1" applyAlignment="1">
      <alignment horizontal="center"/>
    </xf>
    <xf numFmtId="0" fontId="0" fillId="9" borderId="21" xfId="0" applyFill="1" applyBorder="1" applyAlignment="1">
      <alignment horizontal="center"/>
    </xf>
    <xf numFmtId="0" fontId="10" fillId="8" borderId="20" xfId="0" applyFont="1" applyFill="1" applyBorder="1" applyAlignment="1">
      <alignment horizontal="center"/>
    </xf>
    <xf numFmtId="0" fontId="10" fillId="9" borderId="24" xfId="0" applyFont="1" applyFill="1" applyBorder="1" applyAlignment="1">
      <alignment horizontal="center" vertical="center"/>
    </xf>
    <xf numFmtId="0" fontId="10" fillId="9" borderId="19" xfId="0" applyFont="1" applyFill="1" applyBorder="1" applyAlignment="1">
      <alignment horizontal="center"/>
    </xf>
    <xf numFmtId="0" fontId="10" fillId="9" borderId="21" xfId="0" applyFont="1" applyFill="1" applyBorder="1" applyAlignment="1">
      <alignment horizontal="center"/>
    </xf>
    <xf numFmtId="0" fontId="10" fillId="9" borderId="20" xfId="0" applyFont="1" applyFill="1" applyBorder="1" applyAlignment="1">
      <alignment horizontal="center"/>
    </xf>
    <xf numFmtId="0" fontId="10" fillId="9" borderId="22" xfId="0" applyFont="1" applyFill="1" applyBorder="1" applyAlignment="1">
      <alignment horizontal="center"/>
    </xf>
    <xf numFmtId="0" fontId="0" fillId="9" borderId="23" xfId="0" applyFill="1" applyBorder="1" applyAlignment="1">
      <alignment horizontal="center"/>
    </xf>
    <xf numFmtId="0" fontId="0" fillId="9" borderId="24" xfId="0" applyFill="1" applyBorder="1" applyAlignment="1">
      <alignment horizontal="center"/>
    </xf>
    <xf numFmtId="0" fontId="10" fillId="9" borderId="38" xfId="0" applyFont="1" applyFill="1" applyBorder="1" applyAlignment="1">
      <alignment horizontal="center"/>
    </xf>
    <xf numFmtId="0" fontId="0" fillId="9" borderId="10" xfId="0" applyFill="1" applyBorder="1" applyAlignment="1">
      <alignment horizontal="center"/>
    </xf>
    <xf numFmtId="0" fontId="26" fillId="0" borderId="40" xfId="0" applyFont="1" applyBorder="1" applyAlignment="1">
      <alignment horizontal="center"/>
    </xf>
    <xf numFmtId="0" fontId="26" fillId="0" borderId="43" xfId="0" applyFont="1" applyBorder="1" applyAlignment="1">
      <alignment horizontal="center"/>
    </xf>
    <xf numFmtId="0" fontId="10" fillId="0" borderId="42" xfId="0" applyFont="1" applyBorder="1" applyAlignment="1">
      <alignment horizontal="center"/>
    </xf>
    <xf numFmtId="0" fontId="26" fillId="19" borderId="68" xfId="0" applyFont="1" applyFill="1" applyBorder="1" applyAlignment="1">
      <alignment horizontal="center"/>
    </xf>
    <xf numFmtId="0" fontId="10" fillId="8" borderId="60" xfId="0" applyFont="1" applyFill="1" applyBorder="1" applyAlignment="1">
      <alignment horizontal="center"/>
    </xf>
    <xf numFmtId="0" fontId="10" fillId="8" borderId="25" xfId="0" applyFont="1" applyFill="1" applyBorder="1" applyAlignment="1">
      <alignment horizontal="center"/>
    </xf>
    <xf numFmtId="0" fontId="10" fillId="9" borderId="60" xfId="0" applyFont="1" applyFill="1" applyBorder="1" applyAlignment="1">
      <alignment horizontal="center"/>
    </xf>
    <xf numFmtId="0" fontId="0" fillId="0" borderId="23" xfId="0" applyBorder="1" applyAlignment="1"/>
    <xf numFmtId="0" fontId="10" fillId="0" borderId="57" xfId="0" applyFont="1" applyBorder="1" applyAlignment="1">
      <alignment horizontal="center"/>
    </xf>
    <xf numFmtId="0" fontId="0" fillId="9" borderId="17" xfId="0" applyFill="1" applyBorder="1" applyAlignment="1">
      <alignment horizontal="center"/>
    </xf>
    <xf numFmtId="0" fontId="10" fillId="9" borderId="36" xfId="0" applyFont="1" applyFill="1" applyBorder="1" applyAlignment="1">
      <alignment horizontal="center"/>
    </xf>
    <xf numFmtId="0" fontId="10" fillId="9" borderId="65" xfId="0" applyFont="1" applyFill="1" applyBorder="1" applyAlignment="1">
      <alignment horizontal="center"/>
    </xf>
    <xf numFmtId="0" fontId="10" fillId="9" borderId="24" xfId="0" applyFont="1" applyFill="1" applyBorder="1" applyAlignment="1">
      <alignment horizontal="center"/>
    </xf>
    <xf numFmtId="0" fontId="10" fillId="8" borderId="45" xfId="0" applyFont="1" applyFill="1" applyBorder="1" applyAlignment="1">
      <alignment horizontal="center"/>
    </xf>
    <xf numFmtId="0" fontId="10" fillId="9" borderId="7" xfId="0" applyFont="1" applyFill="1" applyBorder="1" applyAlignment="1">
      <alignment horizontal="center" vertical="center"/>
    </xf>
    <xf numFmtId="0" fontId="10" fillId="9" borderId="38" xfId="0" applyFont="1" applyFill="1" applyBorder="1" applyAlignment="1">
      <alignment horizontal="center" vertical="center"/>
    </xf>
    <xf numFmtId="0" fontId="10" fillId="9" borderId="9" xfId="0" applyFont="1" applyFill="1" applyBorder="1" applyAlignment="1">
      <alignment horizontal="center" vertical="center"/>
    </xf>
    <xf numFmtId="0" fontId="10" fillId="9" borderId="67" xfId="0" applyFont="1" applyFill="1" applyBorder="1" applyAlignment="1">
      <alignment horizontal="center" vertical="center"/>
    </xf>
    <xf numFmtId="0" fontId="10" fillId="9" borderId="40" xfId="0" applyFont="1" applyFill="1" applyBorder="1" applyAlignment="1">
      <alignment horizontal="center" vertical="center"/>
    </xf>
    <xf numFmtId="0" fontId="10" fillId="9" borderId="41" xfId="0" applyFont="1" applyFill="1" applyBorder="1" applyAlignment="1">
      <alignment horizontal="center" vertical="center"/>
    </xf>
    <xf numFmtId="0" fontId="10" fillId="9" borderId="42" xfId="0" applyFont="1" applyFill="1" applyBorder="1" applyAlignment="1">
      <alignment horizontal="center" vertical="center"/>
    </xf>
    <xf numFmtId="0" fontId="0" fillId="9" borderId="25" xfId="0" applyFill="1" applyBorder="1" applyAlignment="1">
      <alignment horizontal="center"/>
    </xf>
    <xf numFmtId="0" fontId="10" fillId="0" borderId="33" xfId="0" applyFont="1" applyBorder="1" applyAlignment="1">
      <alignment horizontal="center"/>
    </xf>
    <xf numFmtId="0" fontId="10" fillId="0" borderId="34" xfId="0" applyFont="1" applyBorder="1" applyAlignment="1">
      <alignment horizontal="center"/>
    </xf>
    <xf numFmtId="0" fontId="0" fillId="0" borderId="34" xfId="0" applyBorder="1" applyAlignment="1"/>
    <xf numFmtId="0" fontId="0" fillId="0" borderId="35" xfId="0" applyBorder="1" applyAlignment="1"/>
    <xf numFmtId="0" fontId="10" fillId="0" borderId="5" xfId="0" applyFont="1" applyBorder="1" applyAlignment="1">
      <alignment horizontal="center"/>
    </xf>
    <xf numFmtId="0" fontId="10" fillId="0" borderId="0" xfId="0" applyFont="1" applyAlignment="1">
      <alignment horizontal="center"/>
    </xf>
    <xf numFmtId="0" fontId="0" fillId="0" borderId="0" xfId="0" applyAlignment="1"/>
    <xf numFmtId="0" fontId="0" fillId="0" borderId="4" xfId="0" applyBorder="1" applyAlignment="1"/>
    <xf numFmtId="0" fontId="10" fillId="0" borderId="54" xfId="0" applyFont="1" applyBorder="1" applyAlignment="1">
      <alignment horizontal="center" vertical="center"/>
    </xf>
    <xf numFmtId="0" fontId="10" fillId="0" borderId="55" xfId="0" applyFont="1" applyBorder="1" applyAlignment="1">
      <alignment horizontal="center" vertical="center"/>
    </xf>
    <xf numFmtId="0" fontId="10" fillId="0" borderId="56" xfId="0" applyFont="1" applyBorder="1" applyAlignment="1">
      <alignment horizontal="center" vertical="center"/>
    </xf>
    <xf numFmtId="0" fontId="10" fillId="0" borderId="17" xfId="0" applyFont="1" applyBorder="1" applyAlignment="1">
      <alignment horizontal="center"/>
    </xf>
    <xf numFmtId="0" fontId="10" fillId="0" borderId="18" xfId="0" applyFont="1" applyBorder="1" applyAlignment="1">
      <alignment horizontal="center"/>
    </xf>
    <xf numFmtId="0" fontId="10" fillId="0" borderId="23" xfId="0" applyFont="1" applyBorder="1" applyAlignment="1">
      <alignment horizontal="center"/>
    </xf>
    <xf numFmtId="0" fontId="10" fillId="0" borderId="25" xfId="0" applyFont="1" applyBorder="1" applyAlignment="1">
      <alignment horizontal="center"/>
    </xf>
    <xf numFmtId="0" fontId="2" fillId="5" borderId="2" xfId="4" applyBorder="1" applyAlignment="1">
      <alignment horizontal="center" vertical="center" wrapText="1"/>
    </xf>
    <xf numFmtId="0" fontId="0" fillId="0" borderId="3" xfId="0" applyBorder="1" applyAlignment="1">
      <alignment horizontal="center" vertical="center"/>
    </xf>
    <xf numFmtId="0" fontId="0" fillId="0" borderId="39" xfId="0" applyBorder="1" applyAlignment="1">
      <alignment horizontal="center" vertical="center"/>
    </xf>
    <xf numFmtId="0" fontId="2" fillId="5" borderId="27" xfId="4" applyBorder="1" applyAlignment="1">
      <alignment horizontal="center" vertical="center"/>
    </xf>
    <xf numFmtId="0" fontId="2" fillId="5" borderId="28" xfId="4" applyBorder="1" applyAlignment="1">
      <alignment horizontal="center" vertical="center"/>
    </xf>
    <xf numFmtId="0" fontId="2" fillId="5" borderId="47" xfId="4" applyBorder="1" applyAlignment="1">
      <alignment horizontal="center" vertical="center"/>
    </xf>
    <xf numFmtId="0" fontId="2" fillId="5" borderId="5" xfId="4" applyBorder="1" applyAlignment="1">
      <alignment horizontal="center" vertical="center"/>
    </xf>
    <xf numFmtId="0" fontId="2" fillId="5" borderId="0" xfId="4" applyAlignment="1">
      <alignment horizontal="center" vertical="center"/>
    </xf>
    <xf numFmtId="0" fontId="2" fillId="5" borderId="4" xfId="4" applyBorder="1" applyAlignment="1">
      <alignment horizontal="center" vertical="center"/>
    </xf>
    <xf numFmtId="0" fontId="2" fillId="5" borderId="0" xfId="4" applyBorder="1" applyAlignment="1">
      <alignment horizontal="center" vertical="center"/>
    </xf>
    <xf numFmtId="0" fontId="0" fillId="0" borderId="5" xfId="0" applyBorder="1" applyAlignment="1"/>
    <xf numFmtId="0" fontId="0" fillId="0" borderId="44" xfId="0" applyBorder="1" applyAlignment="1"/>
    <xf numFmtId="0" fontId="0" fillId="0" borderId="45" xfId="0" applyBorder="1" applyAlignment="1"/>
    <xf numFmtId="0" fontId="0" fillId="0" borderId="46" xfId="0" applyBorder="1" applyAlignment="1"/>
    <xf numFmtId="0" fontId="3" fillId="0" borderId="22" xfId="0" applyFont="1" applyBorder="1" applyAlignment="1">
      <alignment horizontal="center"/>
    </xf>
    <xf numFmtId="0" fontId="3" fillId="0" borderId="23" xfId="0" applyFont="1" applyBorder="1" applyAlignment="1">
      <alignment horizontal="center"/>
    </xf>
    <xf numFmtId="0" fontId="3" fillId="0" borderId="25" xfId="0" applyFont="1" applyBorder="1" applyAlignment="1">
      <alignment horizontal="center"/>
    </xf>
    <xf numFmtId="0" fontId="13" fillId="15" borderId="11" xfId="0" applyFont="1" applyFill="1" applyBorder="1" applyAlignment="1">
      <alignment textRotation="90"/>
    </xf>
    <xf numFmtId="0" fontId="10" fillId="0" borderId="2" xfId="0" applyFont="1" applyBorder="1" applyAlignment="1">
      <alignment horizontal="left" vertical="center" wrapText="1"/>
    </xf>
    <xf numFmtId="0" fontId="0" fillId="0" borderId="3" xfId="0" applyBorder="1" applyAlignment="1">
      <alignment horizontal="left" vertical="center"/>
    </xf>
    <xf numFmtId="0" fontId="0" fillId="0" borderId="6" xfId="0" applyBorder="1" applyAlignment="1">
      <alignment horizontal="left" vertical="center"/>
    </xf>
    <xf numFmtId="0" fontId="20" fillId="18" borderId="11" xfId="0" applyFont="1" applyFill="1" applyBorder="1" applyAlignment="1">
      <alignment horizontal="center" vertical="center" textRotation="90"/>
    </xf>
    <xf numFmtId="0" fontId="1" fillId="20" borderId="2" xfId="4" applyFont="1" applyFill="1" applyBorder="1" applyAlignment="1">
      <alignment horizontal="center" vertical="center" wrapText="1"/>
    </xf>
    <xf numFmtId="0" fontId="14" fillId="16" borderId="0" xfId="0" applyFont="1" applyFill="1" applyAlignment="1">
      <alignment horizontal="left" vertical="center"/>
    </xf>
    <xf numFmtId="0" fontId="14" fillId="16" borderId="4" xfId="0" applyFont="1" applyFill="1" applyBorder="1" applyAlignment="1">
      <alignment horizontal="left" vertical="center"/>
    </xf>
    <xf numFmtId="0" fontId="14" fillId="15" borderId="0" xfId="0" applyFont="1" applyFill="1" applyAlignment="1">
      <alignment horizontal="left" vertical="center"/>
    </xf>
    <xf numFmtId="0" fontId="14" fillId="15" borderId="4" xfId="0" applyFont="1" applyFill="1" applyBorder="1" applyAlignment="1">
      <alignment horizontal="left" vertical="center"/>
    </xf>
    <xf numFmtId="0" fontId="13" fillId="16" borderId="11" xfId="0" applyFont="1" applyFill="1" applyBorder="1" applyAlignment="1">
      <alignment textRotation="90"/>
    </xf>
  </cellXfs>
  <cellStyles count="6">
    <cellStyle name="20% - Accent6" xfId="4" builtinId="50"/>
    <cellStyle name="20% - Accent6 2" xfId="5" xr:uid="{E1AE79C4-A4DB-4475-A242-89B3ED7E1537}"/>
    <cellStyle name="Good" xfId="1" builtinId="26"/>
    <cellStyle name="Input" xfId="3" builtinId="20"/>
    <cellStyle name="Neutral" xfId="2" builtinId="28"/>
    <cellStyle name="Normal" xfId="0" builtinId="0"/>
  </cellStyles>
  <dxfs count="0"/>
  <tableStyles count="0" defaultTableStyle="TableStyleMedium9" defaultPivotStyle="PivotStyleMedium7"/>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61C79-EA75-4BC7-9CEC-40368CF0D0D6}">
  <dimension ref="A1:AL659"/>
  <sheetViews>
    <sheetView tabSelected="1" topLeftCell="D1" zoomScale="80" zoomScaleNormal="80" workbookViewId="0">
      <pane ySplit="1" topLeftCell="A53" activePane="bottomLeft" state="frozen"/>
      <selection activeCell="H1" sqref="H1"/>
      <selection pane="bottomLeft" activeCell="AL14" sqref="AL14"/>
    </sheetView>
  </sheetViews>
  <sheetFormatPr defaultRowHeight="15.5" outlineLevelRow="2"/>
  <cols>
    <col min="1" max="1" width="8.83203125" customWidth="1"/>
    <col min="4" max="4" width="25.58203125" customWidth="1"/>
  </cols>
  <sheetData>
    <row r="1" spans="1:38" s="6" customFormat="1" ht="36.75" customHeight="1">
      <c r="A1" s="3" t="s">
        <v>0</v>
      </c>
      <c r="B1" s="4"/>
      <c r="C1" s="4"/>
      <c r="D1" s="5"/>
      <c r="E1" s="51">
        <v>31</v>
      </c>
      <c r="F1" s="49">
        <f>E1-1</f>
        <v>30</v>
      </c>
      <c r="G1" s="49">
        <f t="shared" ref="G1:AJ1" si="0">F1-1</f>
        <v>29</v>
      </c>
      <c r="H1" s="49">
        <f t="shared" si="0"/>
        <v>28</v>
      </c>
      <c r="I1" s="49">
        <f>H1-1</f>
        <v>27</v>
      </c>
      <c r="J1" s="49">
        <f t="shared" si="0"/>
        <v>26</v>
      </c>
      <c r="K1" s="49">
        <f t="shared" si="0"/>
        <v>25</v>
      </c>
      <c r="L1" s="49">
        <f t="shared" si="0"/>
        <v>24</v>
      </c>
      <c r="M1" s="49">
        <f t="shared" si="0"/>
        <v>23</v>
      </c>
      <c r="N1" s="49">
        <f t="shared" si="0"/>
        <v>22</v>
      </c>
      <c r="O1" s="49">
        <f t="shared" si="0"/>
        <v>21</v>
      </c>
      <c r="P1" s="49">
        <f t="shared" si="0"/>
        <v>20</v>
      </c>
      <c r="Q1" s="49">
        <f t="shared" si="0"/>
        <v>19</v>
      </c>
      <c r="R1" s="49">
        <f t="shared" si="0"/>
        <v>18</v>
      </c>
      <c r="S1" s="49">
        <f t="shared" si="0"/>
        <v>17</v>
      </c>
      <c r="T1" s="49">
        <f t="shared" si="0"/>
        <v>16</v>
      </c>
      <c r="U1" s="49">
        <f t="shared" si="0"/>
        <v>15</v>
      </c>
      <c r="V1" s="49">
        <f t="shared" si="0"/>
        <v>14</v>
      </c>
      <c r="W1" s="49">
        <f t="shared" si="0"/>
        <v>13</v>
      </c>
      <c r="X1" s="49">
        <f t="shared" si="0"/>
        <v>12</v>
      </c>
      <c r="Y1" s="49">
        <f t="shared" si="0"/>
        <v>11</v>
      </c>
      <c r="Z1" s="49">
        <f t="shared" si="0"/>
        <v>10</v>
      </c>
      <c r="AA1" s="49">
        <f t="shared" si="0"/>
        <v>9</v>
      </c>
      <c r="AB1" s="49">
        <f t="shared" si="0"/>
        <v>8</v>
      </c>
      <c r="AC1" s="49">
        <f t="shared" si="0"/>
        <v>7</v>
      </c>
      <c r="AD1" s="49">
        <f t="shared" si="0"/>
        <v>6</v>
      </c>
      <c r="AE1" s="49">
        <f t="shared" si="0"/>
        <v>5</v>
      </c>
      <c r="AF1" s="49">
        <f t="shared" si="0"/>
        <v>4</v>
      </c>
      <c r="AG1" s="49">
        <f t="shared" si="0"/>
        <v>3</v>
      </c>
      <c r="AH1" s="49">
        <f t="shared" si="0"/>
        <v>2</v>
      </c>
      <c r="AI1" s="49">
        <f t="shared" si="0"/>
        <v>1</v>
      </c>
      <c r="AJ1" s="49">
        <f t="shared" si="0"/>
        <v>0</v>
      </c>
    </row>
    <row r="2" spans="1:38">
      <c r="A2" s="7"/>
      <c r="B2" s="7"/>
      <c r="C2" s="6"/>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row>
    <row r="3" spans="1:38">
      <c r="A3" s="6"/>
      <c r="B3" s="6"/>
      <c r="C3" s="6"/>
      <c r="D3" s="8"/>
      <c r="E3" s="78" t="s">
        <v>1</v>
      </c>
      <c r="F3" s="79"/>
      <c r="G3" s="79"/>
      <c r="H3" s="79"/>
      <c r="I3" s="79"/>
      <c r="J3" s="79"/>
      <c r="K3" s="79"/>
      <c r="L3" s="79"/>
      <c r="M3" s="78" t="s">
        <v>2</v>
      </c>
      <c r="N3" s="79"/>
      <c r="O3" s="79"/>
      <c r="P3" s="79"/>
      <c r="Q3" s="79"/>
      <c r="R3" s="79"/>
      <c r="S3" s="79"/>
      <c r="T3" s="79"/>
      <c r="U3" s="78" t="s">
        <v>3</v>
      </c>
      <c r="V3" s="79"/>
      <c r="W3" s="79"/>
      <c r="X3" s="79"/>
      <c r="Y3" s="79"/>
      <c r="Z3" s="79"/>
      <c r="AA3" s="79"/>
      <c r="AB3" s="79"/>
      <c r="AC3" s="78" t="s">
        <v>4</v>
      </c>
      <c r="AD3" s="79"/>
      <c r="AE3" s="79"/>
      <c r="AF3" s="79"/>
      <c r="AG3" s="79"/>
      <c r="AH3" s="79"/>
      <c r="AI3" s="79"/>
      <c r="AJ3" s="79"/>
    </row>
    <row r="4" spans="1:38">
      <c r="A4" s="6"/>
      <c r="B4" s="4"/>
      <c r="C4" s="4"/>
      <c r="D4" s="5"/>
      <c r="E4" s="51">
        <v>31</v>
      </c>
      <c r="F4" s="49">
        <f>E4-1</f>
        <v>30</v>
      </c>
      <c r="G4" s="49">
        <f t="shared" ref="G4:AJ4" si="1">F4-1</f>
        <v>29</v>
      </c>
      <c r="H4" s="49">
        <f t="shared" si="1"/>
        <v>28</v>
      </c>
      <c r="I4" s="49">
        <f>H4-1</f>
        <v>27</v>
      </c>
      <c r="J4" s="49">
        <f t="shared" si="1"/>
        <v>26</v>
      </c>
      <c r="K4" s="49">
        <f t="shared" si="1"/>
        <v>25</v>
      </c>
      <c r="L4" s="49">
        <f t="shared" si="1"/>
        <v>24</v>
      </c>
      <c r="M4" s="49">
        <f t="shared" si="1"/>
        <v>23</v>
      </c>
      <c r="N4" s="49">
        <f t="shared" si="1"/>
        <v>22</v>
      </c>
      <c r="O4" s="49">
        <f t="shared" si="1"/>
        <v>21</v>
      </c>
      <c r="P4" s="49">
        <f t="shared" si="1"/>
        <v>20</v>
      </c>
      <c r="Q4" s="49">
        <f t="shared" si="1"/>
        <v>19</v>
      </c>
      <c r="R4" s="49">
        <f t="shared" si="1"/>
        <v>18</v>
      </c>
      <c r="S4" s="49">
        <f t="shared" si="1"/>
        <v>17</v>
      </c>
      <c r="T4" s="49">
        <f t="shared" si="1"/>
        <v>16</v>
      </c>
      <c r="U4" s="49">
        <f t="shared" si="1"/>
        <v>15</v>
      </c>
      <c r="V4" s="49">
        <f t="shared" si="1"/>
        <v>14</v>
      </c>
      <c r="W4" s="49">
        <f t="shared" si="1"/>
        <v>13</v>
      </c>
      <c r="X4" s="49">
        <f t="shared" si="1"/>
        <v>12</v>
      </c>
      <c r="Y4" s="49">
        <f t="shared" si="1"/>
        <v>11</v>
      </c>
      <c r="Z4" s="49">
        <f t="shared" si="1"/>
        <v>10</v>
      </c>
      <c r="AA4" s="49">
        <f t="shared" si="1"/>
        <v>9</v>
      </c>
      <c r="AB4" s="49">
        <f t="shared" si="1"/>
        <v>8</v>
      </c>
      <c r="AC4" s="49">
        <f t="shared" si="1"/>
        <v>7</v>
      </c>
      <c r="AD4" s="49">
        <f t="shared" si="1"/>
        <v>6</v>
      </c>
      <c r="AE4" s="49">
        <f t="shared" si="1"/>
        <v>5</v>
      </c>
      <c r="AF4" s="49">
        <f t="shared" si="1"/>
        <v>4</v>
      </c>
      <c r="AG4" s="49">
        <f t="shared" si="1"/>
        <v>3</v>
      </c>
      <c r="AH4" s="49">
        <f t="shared" si="1"/>
        <v>2</v>
      </c>
      <c r="AI4" s="49">
        <f t="shared" si="1"/>
        <v>1</v>
      </c>
      <c r="AJ4" s="49">
        <f t="shared" si="1"/>
        <v>0</v>
      </c>
    </row>
    <row r="5" spans="1:38" ht="21.5" thickBot="1">
      <c r="A5" s="6"/>
      <c r="B5" s="9" t="s">
        <v>5</v>
      </c>
      <c r="C5" s="9" t="s">
        <v>6</v>
      </c>
      <c r="D5" s="9" t="s">
        <v>7</v>
      </c>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row>
    <row r="6" spans="1:38" outlineLevel="2">
      <c r="A6" s="80" t="s">
        <v>8</v>
      </c>
      <c r="B6" s="82">
        <v>100000</v>
      </c>
      <c r="C6" s="52" t="str">
        <f>DEC2HEX(HEX2DEC($B$6)*16, 8)</f>
        <v>01000000</v>
      </c>
      <c r="D6" s="65" t="s">
        <v>9</v>
      </c>
      <c r="E6" s="85" t="s">
        <v>10</v>
      </c>
      <c r="F6" s="86"/>
      <c r="G6" s="86"/>
      <c r="H6" s="86"/>
      <c r="I6" s="86"/>
      <c r="J6" s="86"/>
      <c r="K6" s="86"/>
      <c r="L6" s="86"/>
      <c r="M6" s="86"/>
      <c r="N6" s="86"/>
      <c r="O6" s="86"/>
      <c r="P6" s="86"/>
      <c r="Q6" s="86"/>
      <c r="R6" s="86"/>
      <c r="S6" s="86"/>
      <c r="T6" s="87"/>
      <c r="U6" s="88" t="s">
        <v>11</v>
      </c>
      <c r="V6" s="89"/>
      <c r="W6" s="89"/>
      <c r="X6" s="89"/>
      <c r="Y6" s="89"/>
      <c r="Z6" s="89"/>
      <c r="AA6" s="89"/>
      <c r="AB6" s="89"/>
      <c r="AC6" s="90" t="s">
        <v>12</v>
      </c>
      <c r="AD6" s="91"/>
      <c r="AE6" s="91"/>
      <c r="AF6" s="91"/>
      <c r="AG6" s="91"/>
      <c r="AH6" s="91"/>
      <c r="AI6" s="91"/>
      <c r="AJ6" s="92"/>
    </row>
    <row r="7" spans="1:38" outlineLevel="2">
      <c r="A7" s="81"/>
      <c r="B7" s="83"/>
      <c r="C7" s="12" t="str">
        <f t="shared" ref="C7:C17" si="2">DEC2HEX(HEX2DEC(C6) + 4, 8)</f>
        <v>01000004</v>
      </c>
      <c r="D7" s="65" t="s">
        <v>13</v>
      </c>
      <c r="E7" s="42" t="s">
        <v>14</v>
      </c>
      <c r="F7" s="13" t="s">
        <v>15</v>
      </c>
      <c r="G7" s="93" t="s">
        <v>16</v>
      </c>
      <c r="H7" s="94"/>
      <c r="I7" s="95"/>
      <c r="J7" s="13" t="s">
        <v>15</v>
      </c>
      <c r="K7" s="99" t="s">
        <v>17</v>
      </c>
      <c r="L7" s="99"/>
      <c r="M7" s="100" t="s">
        <v>18</v>
      </c>
      <c r="N7" s="101"/>
      <c r="O7" s="101"/>
      <c r="P7" s="101"/>
      <c r="Q7" s="101"/>
      <c r="R7" s="101"/>
      <c r="S7" s="101"/>
      <c r="T7" s="101"/>
      <c r="U7" s="101"/>
      <c r="V7" s="101"/>
      <c r="W7" s="101"/>
      <c r="X7" s="101"/>
      <c r="Y7" s="101"/>
      <c r="Z7" s="101"/>
      <c r="AA7" s="101"/>
      <c r="AB7" s="101"/>
      <c r="AC7" s="101"/>
      <c r="AD7" s="101"/>
      <c r="AE7" s="101"/>
      <c r="AF7" s="101"/>
      <c r="AG7" s="101"/>
      <c r="AH7" s="101"/>
      <c r="AI7" s="101"/>
      <c r="AJ7" s="102"/>
      <c r="AL7" t="s">
        <v>19</v>
      </c>
    </row>
    <row r="8" spans="1:38" outlineLevel="2">
      <c r="A8" s="81"/>
      <c r="B8" s="83"/>
      <c r="C8" s="12" t="str">
        <f t="shared" si="2"/>
        <v>01000008</v>
      </c>
      <c r="D8" s="12" t="s">
        <v>20</v>
      </c>
      <c r="E8" s="103" t="s">
        <v>21</v>
      </c>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4"/>
      <c r="AH8" s="104"/>
      <c r="AI8" s="104"/>
      <c r="AJ8" s="105"/>
      <c r="AL8" t="s">
        <v>19</v>
      </c>
    </row>
    <row r="9" spans="1:38" outlineLevel="2">
      <c r="A9" s="81"/>
      <c r="B9" s="84"/>
      <c r="C9" s="14" t="str">
        <f t="shared" si="2"/>
        <v>0100000C</v>
      </c>
      <c r="D9" s="12" t="s">
        <v>22</v>
      </c>
      <c r="E9" s="106" t="s">
        <v>23</v>
      </c>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8"/>
      <c r="AL9" t="s">
        <v>19</v>
      </c>
    </row>
    <row r="10" spans="1:38" outlineLevel="2">
      <c r="A10" s="81"/>
      <c r="B10" s="109" t="str">
        <f>DEC2HEX(HEX2DEC(B6) + 1)</f>
        <v>100001</v>
      </c>
      <c r="C10" s="10" t="str">
        <f t="shared" si="2"/>
        <v>01000010</v>
      </c>
      <c r="D10" s="40" t="s">
        <v>24</v>
      </c>
      <c r="E10" s="96" t="s">
        <v>25</v>
      </c>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8"/>
    </row>
    <row r="11" spans="1:38" ht="16.149999999999999" customHeight="1" outlineLevel="2">
      <c r="A11" s="81"/>
      <c r="B11" s="79"/>
      <c r="C11" s="12" t="str">
        <f t="shared" si="2"/>
        <v>01000014</v>
      </c>
      <c r="D11" s="59" t="s">
        <v>26</v>
      </c>
      <c r="E11" s="110" t="s">
        <v>27</v>
      </c>
      <c r="F11" s="111"/>
      <c r="G11" s="111"/>
      <c r="H11" s="112"/>
      <c r="I11" s="113" t="s">
        <v>15</v>
      </c>
      <c r="J11" s="114"/>
      <c r="K11" s="114"/>
      <c r="L11" s="114"/>
      <c r="M11" s="114"/>
      <c r="N11" s="114"/>
      <c r="O11" s="114"/>
      <c r="P11" s="114"/>
      <c r="Q11" s="114"/>
      <c r="R11" s="114"/>
      <c r="S11" s="114"/>
      <c r="T11" s="114"/>
      <c r="U11" s="114"/>
      <c r="V11" s="114"/>
      <c r="W11" s="114"/>
      <c r="X11" s="114"/>
      <c r="Y11" s="114"/>
      <c r="Z11" s="114"/>
      <c r="AA11" s="114"/>
      <c r="AB11" s="115"/>
      <c r="AC11" s="116" t="s">
        <v>28</v>
      </c>
      <c r="AD11" s="117"/>
      <c r="AE11" s="116" t="s">
        <v>29</v>
      </c>
      <c r="AF11" s="117"/>
      <c r="AG11" s="116" t="s">
        <v>30</v>
      </c>
      <c r="AH11" s="117"/>
      <c r="AI11" s="116" t="s">
        <v>31</v>
      </c>
      <c r="AJ11" s="117"/>
    </row>
    <row r="12" spans="1:38" outlineLevel="2">
      <c r="A12" s="81"/>
      <c r="B12" s="79"/>
      <c r="C12" s="12" t="str">
        <f t="shared" si="2"/>
        <v>01000018</v>
      </c>
      <c r="D12" s="12" t="s">
        <v>32</v>
      </c>
      <c r="E12" s="130" t="s">
        <v>33</v>
      </c>
      <c r="F12" s="131"/>
      <c r="G12" s="131"/>
      <c r="H12" s="131"/>
      <c r="I12" s="131"/>
      <c r="J12" s="131"/>
      <c r="K12" s="131"/>
      <c r="L12" s="131"/>
      <c r="M12" s="132" t="s">
        <v>34</v>
      </c>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33"/>
      <c r="AL12" t="s">
        <v>35</v>
      </c>
    </row>
    <row r="13" spans="1:38" outlineLevel="2">
      <c r="A13" s="81"/>
      <c r="B13" s="79"/>
      <c r="C13" s="14" t="str">
        <f t="shared" si="2"/>
        <v>0100001C</v>
      </c>
      <c r="D13" s="14" t="s">
        <v>36</v>
      </c>
      <c r="E13" s="103" t="s">
        <v>36</v>
      </c>
      <c r="F13" s="104"/>
      <c r="G13" s="104"/>
      <c r="H13" s="104"/>
      <c r="I13" s="104"/>
      <c r="J13" s="104"/>
      <c r="K13" s="104"/>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5"/>
    </row>
    <row r="14" spans="1:38" outlineLevel="2">
      <c r="A14" s="81"/>
      <c r="B14" s="109" t="str">
        <f>DEC2HEX(HEX2DEC(B10) + 1)</f>
        <v>100002</v>
      </c>
      <c r="C14" s="10" t="str">
        <f t="shared" si="2"/>
        <v>01000020</v>
      </c>
      <c r="D14" s="10" t="s">
        <v>37</v>
      </c>
      <c r="E14" s="134" t="s">
        <v>38</v>
      </c>
      <c r="F14" s="135"/>
      <c r="G14" s="135"/>
      <c r="H14" s="135"/>
      <c r="I14" s="135"/>
      <c r="J14" s="135"/>
      <c r="K14" s="135"/>
      <c r="L14" s="135"/>
      <c r="M14" s="135"/>
      <c r="N14" s="135"/>
      <c r="O14" s="135"/>
      <c r="P14" s="135"/>
      <c r="Q14" s="135"/>
      <c r="R14" s="135"/>
      <c r="S14" s="135"/>
      <c r="T14" s="136"/>
      <c r="U14" s="137" t="s">
        <v>39</v>
      </c>
      <c r="V14" s="138"/>
      <c r="W14" s="138"/>
      <c r="X14" s="138"/>
      <c r="Y14" s="138"/>
      <c r="Z14" s="138"/>
      <c r="AA14" s="138"/>
      <c r="AB14" s="138"/>
      <c r="AC14" s="138"/>
      <c r="AD14" s="138"/>
      <c r="AE14" s="138"/>
      <c r="AF14" s="138"/>
      <c r="AG14" s="138"/>
      <c r="AH14" s="138"/>
      <c r="AI14" s="138"/>
      <c r="AJ14" s="139"/>
      <c r="AL14" t="s">
        <v>35</v>
      </c>
    </row>
    <row r="15" spans="1:38" outlineLevel="2">
      <c r="A15" s="81"/>
      <c r="B15" s="79"/>
      <c r="C15" s="12" t="str">
        <f t="shared" si="2"/>
        <v>01000024</v>
      </c>
      <c r="D15" s="12" t="s">
        <v>40</v>
      </c>
      <c r="E15" s="140" t="s">
        <v>38</v>
      </c>
      <c r="F15" s="141"/>
      <c r="G15" s="141"/>
      <c r="H15" s="141"/>
      <c r="I15" s="141"/>
      <c r="J15" s="141"/>
      <c r="K15" s="141"/>
      <c r="L15" s="141"/>
      <c r="M15" s="141"/>
      <c r="N15" s="141"/>
      <c r="O15" s="141"/>
      <c r="P15" s="141"/>
      <c r="Q15" s="141"/>
      <c r="R15" s="141"/>
      <c r="S15" s="141"/>
      <c r="T15" s="142"/>
      <c r="U15" s="15" t="s">
        <v>41</v>
      </c>
      <c r="V15" s="11"/>
      <c r="W15" s="11"/>
      <c r="X15" s="11"/>
      <c r="Y15" s="11"/>
      <c r="Z15" s="16" t="s">
        <v>42</v>
      </c>
      <c r="AA15" s="16" t="s">
        <v>43</v>
      </c>
      <c r="AB15" s="16" t="s">
        <v>44</v>
      </c>
      <c r="AC15" s="16" t="s">
        <v>45</v>
      </c>
      <c r="AD15" s="16" t="s">
        <v>46</v>
      </c>
      <c r="AE15" s="16" t="s">
        <v>47</v>
      </c>
      <c r="AF15" s="17">
        <v>0</v>
      </c>
      <c r="AG15" s="16" t="s">
        <v>48</v>
      </c>
      <c r="AH15" s="16" t="s">
        <v>49</v>
      </c>
      <c r="AI15" s="16" t="s">
        <v>50</v>
      </c>
      <c r="AJ15" s="16" t="s">
        <v>51</v>
      </c>
    </row>
    <row r="16" spans="1:38" outlineLevel="2">
      <c r="A16" s="81"/>
      <c r="B16" s="79"/>
      <c r="C16" s="12" t="str">
        <f t="shared" si="2"/>
        <v>01000028</v>
      </c>
      <c r="D16" s="12" t="s">
        <v>52</v>
      </c>
      <c r="E16" s="143" t="s">
        <v>38</v>
      </c>
      <c r="F16" s="101"/>
      <c r="G16" s="101"/>
      <c r="H16" s="101"/>
      <c r="I16" s="101"/>
      <c r="J16" s="101"/>
      <c r="K16" s="101"/>
      <c r="L16" s="101"/>
      <c r="M16" s="101"/>
      <c r="N16" s="101"/>
      <c r="O16" s="101"/>
      <c r="P16" s="101"/>
      <c r="Q16" s="101"/>
      <c r="R16" s="101"/>
      <c r="S16" s="101"/>
      <c r="T16" s="102"/>
      <c r="U16" s="13"/>
      <c r="V16" s="13"/>
      <c r="W16" s="13"/>
      <c r="X16" s="13"/>
      <c r="Y16" s="13"/>
      <c r="Z16" s="16" t="s">
        <v>42</v>
      </c>
      <c r="AA16" s="16" t="s">
        <v>43</v>
      </c>
      <c r="AB16" s="16" t="s">
        <v>44</v>
      </c>
      <c r="AC16" s="16" t="s">
        <v>45</v>
      </c>
      <c r="AD16" s="16" t="s">
        <v>46</v>
      </c>
      <c r="AE16" s="16" t="s">
        <v>47</v>
      </c>
      <c r="AF16" s="17">
        <v>0</v>
      </c>
      <c r="AG16" s="16" t="s">
        <v>48</v>
      </c>
      <c r="AH16" s="16" t="s">
        <v>49</v>
      </c>
      <c r="AI16" s="16" t="s">
        <v>50</v>
      </c>
      <c r="AJ16" s="16" t="s">
        <v>51</v>
      </c>
    </row>
    <row r="17" spans="1:36" ht="16.149999999999999" customHeight="1" outlineLevel="2">
      <c r="A17" s="81"/>
      <c r="B17" s="79"/>
      <c r="C17" s="14" t="str">
        <f t="shared" si="2"/>
        <v>0100002C</v>
      </c>
      <c r="D17" s="60" t="s">
        <v>24</v>
      </c>
      <c r="E17" s="118" t="s">
        <v>15</v>
      </c>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c r="AH17" s="119"/>
      <c r="AI17" s="119"/>
      <c r="AJ17" s="120"/>
    </row>
    <row r="18" spans="1:36" outlineLevel="2">
      <c r="A18" s="81"/>
      <c r="B18" s="109" t="str">
        <f>DEC2HEX(HEX2DEC(B14) + 1)</f>
        <v>100003</v>
      </c>
      <c r="C18" s="10" t="str">
        <f>DEC2HEX(HEX2DEC(C17) + 4, 8)</f>
        <v>01000030</v>
      </c>
      <c r="D18" s="64" t="s">
        <v>53</v>
      </c>
      <c r="E18" s="103" t="s">
        <v>54</v>
      </c>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5"/>
    </row>
    <row r="19" spans="1:36" outlineLevel="2">
      <c r="A19" s="81"/>
      <c r="B19" s="79"/>
      <c r="C19" s="12" t="str">
        <f>DEC2HEX(HEX2DEC(C18) + 4, 8)</f>
        <v>01000034</v>
      </c>
      <c r="D19" s="65" t="s">
        <v>55</v>
      </c>
      <c r="E19" s="121" t="s">
        <v>56</v>
      </c>
      <c r="F19" s="122"/>
      <c r="G19" s="122"/>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3"/>
    </row>
    <row r="20" spans="1:36" outlineLevel="2">
      <c r="A20" s="81"/>
      <c r="B20" s="79"/>
      <c r="C20" s="12" t="str">
        <f t="shared" ref="C20:C21" si="3">DEC2HEX(HEX2DEC(C19) + 4, 8)</f>
        <v>01000038</v>
      </c>
      <c r="D20" s="65" t="s">
        <v>57</v>
      </c>
      <c r="E20" s="124" t="s">
        <v>58</v>
      </c>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125"/>
      <c r="AD20" s="125"/>
      <c r="AE20" s="125"/>
      <c r="AF20" s="125"/>
      <c r="AG20" s="125"/>
      <c r="AH20" s="125"/>
      <c r="AI20" s="125"/>
      <c r="AJ20" s="126"/>
    </row>
    <row r="21" spans="1:36" outlineLevel="2">
      <c r="A21" s="81"/>
      <c r="B21" s="79"/>
      <c r="C21" s="14" t="str">
        <f t="shared" si="3"/>
        <v>0100003C</v>
      </c>
      <c r="D21" s="66" t="s">
        <v>59</v>
      </c>
      <c r="E21" s="127" t="s">
        <v>60</v>
      </c>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9"/>
    </row>
    <row r="22" spans="1:36" outlineLevel="2">
      <c r="A22" s="81"/>
      <c r="B22" s="109" t="str">
        <f>DEC2HEX(HEX2DEC(B18) + 1)</f>
        <v>100004</v>
      </c>
      <c r="C22" s="10" t="str">
        <f>DEC2HEX(HEX2DEC(C21) + 4, 8)</f>
        <v>01000040</v>
      </c>
      <c r="D22" s="64" t="s">
        <v>61</v>
      </c>
      <c r="E22" s="103" t="s">
        <v>62</v>
      </c>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5"/>
    </row>
    <row r="23" spans="1:36" outlineLevel="2">
      <c r="A23" s="81"/>
      <c r="B23" s="79"/>
      <c r="C23" s="12" t="str">
        <f t="shared" ref="C23:C25" si="4">DEC2HEX(HEX2DEC(C22) + 4, 8)</f>
        <v>01000044</v>
      </c>
      <c r="D23" s="65" t="s">
        <v>63</v>
      </c>
      <c r="E23" s="144" t="s">
        <v>64</v>
      </c>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6"/>
    </row>
    <row r="24" spans="1:36" outlineLevel="2">
      <c r="A24" s="81"/>
      <c r="B24" s="79"/>
      <c r="C24" s="12" t="str">
        <f t="shared" si="4"/>
        <v>01000048</v>
      </c>
      <c r="D24" s="65" t="s">
        <v>65</v>
      </c>
      <c r="E24" s="144" t="s">
        <v>66</v>
      </c>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6"/>
    </row>
    <row r="25" spans="1:36" outlineLevel="2">
      <c r="A25" s="81"/>
      <c r="B25" s="79"/>
      <c r="C25" s="14" t="str">
        <f t="shared" si="4"/>
        <v>0100004C</v>
      </c>
      <c r="D25" s="66" t="s">
        <v>67</v>
      </c>
      <c r="E25" s="144" t="s">
        <v>68</v>
      </c>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6"/>
    </row>
    <row r="26" spans="1:36" outlineLevel="2">
      <c r="A26" s="81"/>
      <c r="B26" s="109" t="str">
        <f>DEC2HEX(HEX2DEC(B22) + 1)</f>
        <v>100005</v>
      </c>
      <c r="C26" s="10" t="str">
        <f>DEC2HEX(HEX2DEC(C25) + 4, 8)</f>
        <v>01000050</v>
      </c>
      <c r="D26" s="64" t="s">
        <v>69</v>
      </c>
      <c r="E26" s="103" t="s">
        <v>70</v>
      </c>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5"/>
    </row>
    <row r="27" spans="1:36" outlineLevel="2">
      <c r="A27" s="81"/>
      <c r="B27" s="79"/>
      <c r="C27" s="12" t="str">
        <f t="shared" ref="C27:C29" si="5">DEC2HEX(HEX2DEC(C26) + 4, 8)</f>
        <v>01000054</v>
      </c>
      <c r="D27" s="65" t="s">
        <v>71</v>
      </c>
      <c r="E27" s="144" t="s">
        <v>72</v>
      </c>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6"/>
    </row>
    <row r="28" spans="1:36" outlineLevel="2">
      <c r="A28" s="81"/>
      <c r="B28" s="79"/>
      <c r="C28" s="12" t="str">
        <f t="shared" si="5"/>
        <v>01000058</v>
      </c>
      <c r="D28" s="65" t="s">
        <v>73</v>
      </c>
      <c r="E28" s="144" t="s">
        <v>74</v>
      </c>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6"/>
    </row>
    <row r="29" spans="1:36" outlineLevel="2">
      <c r="A29" s="81"/>
      <c r="B29" s="79"/>
      <c r="C29" s="14" t="str">
        <f t="shared" si="5"/>
        <v>0100005C</v>
      </c>
      <c r="D29" s="66" t="s">
        <v>75</v>
      </c>
      <c r="E29" s="144" t="s">
        <v>76</v>
      </c>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6"/>
    </row>
    <row r="30" spans="1:36" outlineLevel="2">
      <c r="A30" s="81"/>
      <c r="B30" s="109" t="str">
        <f>DEC2HEX(HEX2DEC(B26) + 1)</f>
        <v>100006</v>
      </c>
      <c r="C30" s="10" t="str">
        <f>DEC2HEX(HEX2DEC(C29) + 4, 8)</f>
        <v>01000060</v>
      </c>
      <c r="D30" s="64" t="s">
        <v>77</v>
      </c>
      <c r="E30" s="103" t="s">
        <v>78</v>
      </c>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5"/>
    </row>
    <row r="31" spans="1:36" outlineLevel="2">
      <c r="A31" s="81"/>
      <c r="B31" s="79"/>
      <c r="C31" s="12" t="str">
        <f t="shared" ref="C31:C33" si="6">DEC2HEX(HEX2DEC(C30) + 4, 8)</f>
        <v>01000064</v>
      </c>
      <c r="D31" s="65" t="s">
        <v>79</v>
      </c>
      <c r="E31" s="144" t="s">
        <v>80</v>
      </c>
      <c r="F31" s="145"/>
      <c r="G31" s="145"/>
      <c r="H31" s="145"/>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c r="AI31" s="145"/>
      <c r="AJ31" s="146"/>
    </row>
    <row r="32" spans="1:36" outlineLevel="2">
      <c r="A32" s="81"/>
      <c r="B32" s="79"/>
      <c r="C32" s="12" t="str">
        <f t="shared" si="6"/>
        <v>01000068</v>
      </c>
      <c r="D32" s="60" t="s">
        <v>24</v>
      </c>
      <c r="E32" s="96" t="s">
        <v>25</v>
      </c>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8"/>
    </row>
    <row r="33" spans="1:38" outlineLevel="2">
      <c r="A33" s="81"/>
      <c r="B33" s="79"/>
      <c r="C33" s="10" t="str">
        <f t="shared" si="6"/>
        <v>0100006C</v>
      </c>
      <c r="D33" s="60" t="s">
        <v>24</v>
      </c>
      <c r="E33" s="96" t="s">
        <v>25</v>
      </c>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c r="AE33" s="97"/>
      <c r="AF33" s="97"/>
      <c r="AG33" s="97"/>
      <c r="AH33" s="97"/>
      <c r="AI33" s="97"/>
      <c r="AJ33" s="98"/>
    </row>
    <row r="34" spans="1:38" outlineLevel="2">
      <c r="A34" s="81"/>
      <c r="B34" s="109" t="str">
        <f>DEC2HEX(HEX2DEC(B30) + 1)</f>
        <v>100007</v>
      </c>
      <c r="C34" s="10" t="str">
        <f>DEC2HEX(HEX2DEC(C33) + 4, 8)</f>
        <v>01000070</v>
      </c>
      <c r="D34" s="40" t="s">
        <v>24</v>
      </c>
      <c r="E34" s="96" t="s">
        <v>25</v>
      </c>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8"/>
    </row>
    <row r="35" spans="1:38" outlineLevel="2">
      <c r="A35" s="81"/>
      <c r="B35" s="79"/>
      <c r="C35" s="10" t="str">
        <f t="shared" ref="C35:C37" si="7">DEC2HEX(HEX2DEC(C34) + 4, 8)</f>
        <v>01000074</v>
      </c>
      <c r="D35" s="67" t="s">
        <v>24</v>
      </c>
      <c r="E35" s="96" t="s">
        <v>25</v>
      </c>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98"/>
    </row>
    <row r="36" spans="1:38" outlineLevel="2">
      <c r="A36" s="81"/>
      <c r="B36" s="79"/>
      <c r="C36" s="10" t="str">
        <f t="shared" si="7"/>
        <v>01000078</v>
      </c>
      <c r="D36" s="67" t="s">
        <v>24</v>
      </c>
      <c r="E36" s="96" t="s">
        <v>25</v>
      </c>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8"/>
    </row>
    <row r="37" spans="1:38" outlineLevel="2">
      <c r="A37" s="81"/>
      <c r="B37" s="79"/>
      <c r="C37" s="10" t="str">
        <f t="shared" si="7"/>
        <v>0100007C</v>
      </c>
      <c r="D37" s="67" t="s">
        <v>24</v>
      </c>
      <c r="E37" s="96" t="s">
        <v>25</v>
      </c>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98"/>
    </row>
    <row r="38" spans="1:38" outlineLevel="2">
      <c r="A38" s="81"/>
      <c r="B38" s="109" t="str">
        <f>DEC2HEX(HEX2DEC(B34) + 1)</f>
        <v>100008</v>
      </c>
      <c r="C38" s="10" t="str">
        <f>DEC2HEX(HEX2DEC(C37) + 4, 8)</f>
        <v>01000080</v>
      </c>
      <c r="D38" s="10" t="s">
        <v>81</v>
      </c>
      <c r="E38" s="103" t="s">
        <v>82</v>
      </c>
      <c r="F38" s="104"/>
      <c r="G38" s="104"/>
      <c r="H38" s="104"/>
      <c r="I38" s="104"/>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5"/>
      <c r="AL38" t="s">
        <v>83</v>
      </c>
    </row>
    <row r="39" spans="1:38" outlineLevel="2">
      <c r="A39" s="81"/>
      <c r="B39" s="79"/>
      <c r="C39" s="10" t="str">
        <f t="shared" ref="C39:C102" si="8">DEC2HEX(HEX2DEC(C38) + 4, 8)</f>
        <v>01000084</v>
      </c>
      <c r="D39" s="12" t="s">
        <v>84</v>
      </c>
      <c r="E39" s="103" t="s">
        <v>85</v>
      </c>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5"/>
      <c r="AL39" t="s">
        <v>83</v>
      </c>
    </row>
    <row r="40" spans="1:38" outlineLevel="2">
      <c r="A40" s="81"/>
      <c r="B40" s="79"/>
      <c r="C40" s="10" t="str">
        <f t="shared" si="8"/>
        <v>01000088</v>
      </c>
      <c r="D40" s="12" t="s">
        <v>86</v>
      </c>
      <c r="E40" s="103" t="s">
        <v>87</v>
      </c>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5"/>
      <c r="AL40" t="s">
        <v>83</v>
      </c>
    </row>
    <row r="41" spans="1:38" outlineLevel="2">
      <c r="A41" s="81"/>
      <c r="B41" s="79"/>
      <c r="C41" s="10" t="str">
        <f t="shared" si="8"/>
        <v>0100008C</v>
      </c>
      <c r="D41" s="14" t="s">
        <v>88</v>
      </c>
      <c r="E41" s="103" t="s">
        <v>89</v>
      </c>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5"/>
      <c r="AL41" t="s">
        <v>83</v>
      </c>
    </row>
    <row r="42" spans="1:38" outlineLevel="2">
      <c r="A42" s="81"/>
      <c r="B42" s="109" t="str">
        <f>DEC2HEX(HEX2DEC(B38) + 1)</f>
        <v>100009</v>
      </c>
      <c r="C42" s="10" t="str">
        <f t="shared" si="8"/>
        <v>01000090</v>
      </c>
      <c r="D42" s="10" t="s">
        <v>90</v>
      </c>
      <c r="E42" s="103" t="s">
        <v>91</v>
      </c>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5"/>
      <c r="AL42" t="s">
        <v>83</v>
      </c>
    </row>
    <row r="43" spans="1:38" outlineLevel="2">
      <c r="A43" s="81"/>
      <c r="B43" s="79"/>
      <c r="C43" s="10" t="str">
        <f t="shared" si="8"/>
        <v>01000094</v>
      </c>
      <c r="D43" s="12" t="s">
        <v>92</v>
      </c>
      <c r="E43" s="103" t="s">
        <v>93</v>
      </c>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5"/>
      <c r="AL43" t="s">
        <v>83</v>
      </c>
    </row>
    <row r="44" spans="1:38" outlineLevel="2">
      <c r="A44" s="81"/>
      <c r="B44" s="79"/>
      <c r="C44" s="10" t="str">
        <f t="shared" si="8"/>
        <v>01000098</v>
      </c>
      <c r="D44" s="12" t="s">
        <v>94</v>
      </c>
      <c r="E44" s="103" t="s">
        <v>95</v>
      </c>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5"/>
      <c r="AL44" t="s">
        <v>83</v>
      </c>
    </row>
    <row r="45" spans="1:38" outlineLevel="2">
      <c r="A45" s="81"/>
      <c r="B45" s="79"/>
      <c r="C45" s="10" t="str">
        <f t="shared" si="8"/>
        <v>0100009C</v>
      </c>
      <c r="D45" s="14" t="s">
        <v>96</v>
      </c>
      <c r="E45" s="103" t="s">
        <v>97</v>
      </c>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c r="AJ45" s="105"/>
      <c r="AL45" t="s">
        <v>83</v>
      </c>
    </row>
    <row r="46" spans="1:38" outlineLevel="2">
      <c r="A46" s="81"/>
      <c r="B46" s="109" t="str">
        <f>DEC2HEX(HEX2DEC(B42) + 1)</f>
        <v>10000A</v>
      </c>
      <c r="C46" s="10" t="str">
        <f t="shared" si="8"/>
        <v>010000A0</v>
      </c>
      <c r="D46" s="10" t="s">
        <v>98</v>
      </c>
      <c r="E46" s="103" t="s">
        <v>99</v>
      </c>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5"/>
      <c r="AL46" t="s">
        <v>100</v>
      </c>
    </row>
    <row r="47" spans="1:38" outlineLevel="2">
      <c r="A47" s="81"/>
      <c r="B47" s="79"/>
      <c r="C47" s="10" t="str">
        <f t="shared" si="8"/>
        <v>010000A4</v>
      </c>
      <c r="D47" s="12" t="s">
        <v>101</v>
      </c>
      <c r="E47" s="103" t="s">
        <v>102</v>
      </c>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5"/>
      <c r="AL47" t="s">
        <v>100</v>
      </c>
    </row>
    <row r="48" spans="1:38" outlineLevel="2">
      <c r="A48" s="81"/>
      <c r="B48" s="79"/>
      <c r="C48" s="10" t="str">
        <f t="shared" si="8"/>
        <v>010000A8</v>
      </c>
      <c r="D48" s="12" t="s">
        <v>103</v>
      </c>
      <c r="E48" s="103" t="s">
        <v>104</v>
      </c>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5"/>
      <c r="AL48" t="s">
        <v>100</v>
      </c>
    </row>
    <row r="49" spans="1:38" outlineLevel="2">
      <c r="A49" s="81"/>
      <c r="B49" s="79"/>
      <c r="C49" s="10" t="str">
        <f t="shared" si="8"/>
        <v>010000AC</v>
      </c>
      <c r="D49" s="14" t="s">
        <v>105</v>
      </c>
      <c r="E49" s="103" t="s">
        <v>106</v>
      </c>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5"/>
      <c r="AL49" t="s">
        <v>100</v>
      </c>
    </row>
    <row r="50" spans="1:38" outlineLevel="2">
      <c r="A50" s="81"/>
      <c r="B50" s="109" t="str">
        <f>DEC2HEX(HEX2DEC(B46) + 1)</f>
        <v>10000B</v>
      </c>
      <c r="C50" s="10" t="str">
        <f t="shared" si="8"/>
        <v>010000B0</v>
      </c>
      <c r="D50" s="10" t="s">
        <v>107</v>
      </c>
      <c r="E50" s="144" t="s">
        <v>108</v>
      </c>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147"/>
      <c r="AH50" s="147"/>
      <c r="AI50" s="147"/>
      <c r="AJ50" s="148"/>
      <c r="AL50" t="s">
        <v>100</v>
      </c>
    </row>
    <row r="51" spans="1:38" outlineLevel="2">
      <c r="A51" s="81"/>
      <c r="B51" s="79"/>
      <c r="C51" s="10" t="str">
        <f t="shared" si="8"/>
        <v>010000B4</v>
      </c>
      <c r="D51" s="12" t="s">
        <v>109</v>
      </c>
      <c r="E51" s="144" t="s">
        <v>110</v>
      </c>
      <c r="F51" s="147"/>
      <c r="G51" s="147"/>
      <c r="H51" s="147"/>
      <c r="I51" s="147"/>
      <c r="J51" s="147"/>
      <c r="K51" s="147"/>
      <c r="L51" s="147"/>
      <c r="M51" s="147"/>
      <c r="N51" s="147"/>
      <c r="O51" s="147"/>
      <c r="P51" s="147"/>
      <c r="Q51" s="147"/>
      <c r="R51" s="147"/>
      <c r="S51" s="147"/>
      <c r="T51" s="147"/>
      <c r="U51" s="147"/>
      <c r="V51" s="147"/>
      <c r="W51" s="147"/>
      <c r="X51" s="147"/>
      <c r="Y51" s="147"/>
      <c r="Z51" s="147"/>
      <c r="AA51" s="147"/>
      <c r="AB51" s="147"/>
      <c r="AC51" s="147"/>
      <c r="AD51" s="147"/>
      <c r="AE51" s="147"/>
      <c r="AF51" s="147"/>
      <c r="AG51" s="147"/>
      <c r="AH51" s="147"/>
      <c r="AI51" s="147"/>
      <c r="AJ51" s="148"/>
      <c r="AL51" t="s">
        <v>100</v>
      </c>
    </row>
    <row r="52" spans="1:38" outlineLevel="2">
      <c r="A52" s="81"/>
      <c r="B52" s="79"/>
      <c r="C52" s="10" t="str">
        <f t="shared" si="8"/>
        <v>010000B8</v>
      </c>
      <c r="D52" s="12" t="s">
        <v>111</v>
      </c>
      <c r="E52" s="144" t="s">
        <v>112</v>
      </c>
      <c r="F52" s="147"/>
      <c r="G52" s="147"/>
      <c r="H52" s="147"/>
      <c r="I52" s="147"/>
      <c r="J52" s="147"/>
      <c r="K52" s="147"/>
      <c r="L52" s="147"/>
      <c r="M52" s="147"/>
      <c r="N52" s="147"/>
      <c r="O52" s="147"/>
      <c r="P52" s="147"/>
      <c r="Q52" s="147"/>
      <c r="R52" s="147"/>
      <c r="S52" s="147"/>
      <c r="T52" s="147"/>
      <c r="U52" s="147"/>
      <c r="V52" s="147"/>
      <c r="W52" s="147"/>
      <c r="X52" s="147"/>
      <c r="Y52" s="147"/>
      <c r="Z52" s="147"/>
      <c r="AA52" s="147"/>
      <c r="AB52" s="147"/>
      <c r="AC52" s="147"/>
      <c r="AD52" s="147"/>
      <c r="AE52" s="147"/>
      <c r="AF52" s="147"/>
      <c r="AG52" s="147"/>
      <c r="AH52" s="147"/>
      <c r="AI52" s="147"/>
      <c r="AJ52" s="148"/>
      <c r="AL52" t="s">
        <v>100</v>
      </c>
    </row>
    <row r="53" spans="1:38" outlineLevel="2">
      <c r="A53" s="81"/>
      <c r="B53" s="79"/>
      <c r="C53" s="10" t="str">
        <f t="shared" si="8"/>
        <v>010000BC</v>
      </c>
      <c r="D53" s="14" t="s">
        <v>113</v>
      </c>
      <c r="E53" s="144" t="s">
        <v>114</v>
      </c>
      <c r="F53" s="147"/>
      <c r="G53" s="147"/>
      <c r="H53" s="147"/>
      <c r="I53" s="147"/>
      <c r="J53" s="147"/>
      <c r="K53" s="147"/>
      <c r="L53" s="147"/>
      <c r="M53" s="147"/>
      <c r="N53" s="147"/>
      <c r="O53" s="147"/>
      <c r="P53" s="147"/>
      <c r="Q53" s="147"/>
      <c r="R53" s="147"/>
      <c r="S53" s="147"/>
      <c r="T53" s="147"/>
      <c r="U53" s="147"/>
      <c r="V53" s="147"/>
      <c r="W53" s="147"/>
      <c r="X53" s="147"/>
      <c r="Y53" s="147"/>
      <c r="Z53" s="147"/>
      <c r="AA53" s="147"/>
      <c r="AB53" s="147"/>
      <c r="AC53" s="147"/>
      <c r="AD53" s="147"/>
      <c r="AE53" s="147"/>
      <c r="AF53" s="147"/>
      <c r="AG53" s="147"/>
      <c r="AH53" s="147"/>
      <c r="AI53" s="147"/>
      <c r="AJ53" s="148"/>
      <c r="AL53" t="s">
        <v>100</v>
      </c>
    </row>
    <row r="54" spans="1:38" outlineLevel="2">
      <c r="A54" s="81"/>
      <c r="B54" s="109" t="str">
        <f>DEC2HEX(HEX2DEC(B50) + 1)</f>
        <v>10000C</v>
      </c>
      <c r="C54" s="10" t="str">
        <f t="shared" si="8"/>
        <v>010000C0</v>
      </c>
      <c r="D54" s="10" t="s">
        <v>115</v>
      </c>
      <c r="E54" s="13"/>
      <c r="F54" s="149" t="s">
        <v>116</v>
      </c>
      <c r="G54" s="150"/>
      <c r="H54" s="151"/>
      <c r="I54" s="13"/>
      <c r="J54" s="149" t="s">
        <v>117</v>
      </c>
      <c r="K54" s="150"/>
      <c r="L54" s="151"/>
      <c r="M54" s="13"/>
      <c r="N54" s="149" t="s">
        <v>118</v>
      </c>
      <c r="O54" s="150"/>
      <c r="P54" s="151"/>
      <c r="Q54" s="13"/>
      <c r="R54" s="149" t="s">
        <v>119</v>
      </c>
      <c r="S54" s="150"/>
      <c r="T54" s="151"/>
      <c r="U54" s="13"/>
      <c r="V54" s="149" t="s">
        <v>120</v>
      </c>
      <c r="W54" s="150"/>
      <c r="X54" s="151"/>
      <c r="Y54" s="13"/>
      <c r="Z54" s="149" t="s">
        <v>121</v>
      </c>
      <c r="AA54" s="150"/>
      <c r="AB54" s="151"/>
      <c r="AC54" s="13"/>
      <c r="AD54" s="149" t="s">
        <v>122</v>
      </c>
      <c r="AE54" s="150"/>
      <c r="AF54" s="151"/>
      <c r="AG54" s="13"/>
      <c r="AH54" s="149" t="s">
        <v>123</v>
      </c>
      <c r="AI54" s="150"/>
      <c r="AJ54" s="151"/>
      <c r="AL54" t="s">
        <v>124</v>
      </c>
    </row>
    <row r="55" spans="1:38" outlineLevel="2">
      <c r="A55" s="81"/>
      <c r="B55" s="79"/>
      <c r="C55" s="10" t="str">
        <f t="shared" si="8"/>
        <v>010000C4</v>
      </c>
      <c r="D55" s="12" t="s">
        <v>125</v>
      </c>
      <c r="E55" s="13"/>
      <c r="F55" s="149" t="s">
        <v>126</v>
      </c>
      <c r="G55" s="150"/>
      <c r="H55" s="151"/>
      <c r="I55" s="13"/>
      <c r="J55" s="149" t="s">
        <v>127</v>
      </c>
      <c r="K55" s="150"/>
      <c r="L55" s="151"/>
      <c r="M55" s="13"/>
      <c r="N55" s="149" t="s">
        <v>128</v>
      </c>
      <c r="O55" s="150"/>
      <c r="P55" s="151"/>
      <c r="Q55" s="13"/>
      <c r="R55" s="149" t="s">
        <v>129</v>
      </c>
      <c r="S55" s="150"/>
      <c r="T55" s="151"/>
      <c r="U55" s="13"/>
      <c r="V55" s="149" t="s">
        <v>130</v>
      </c>
      <c r="W55" s="150"/>
      <c r="X55" s="151"/>
      <c r="Y55" s="13"/>
      <c r="Z55" s="149" t="s">
        <v>131</v>
      </c>
      <c r="AA55" s="150"/>
      <c r="AB55" s="151"/>
      <c r="AC55" s="13"/>
      <c r="AD55" s="149" t="s">
        <v>132</v>
      </c>
      <c r="AE55" s="150"/>
      <c r="AF55" s="151"/>
      <c r="AG55" s="13"/>
      <c r="AH55" s="149" t="s">
        <v>133</v>
      </c>
      <c r="AI55" s="150"/>
      <c r="AJ55" s="151"/>
      <c r="AL55" t="s">
        <v>124</v>
      </c>
    </row>
    <row r="56" spans="1:38" outlineLevel="2">
      <c r="A56" s="81"/>
      <c r="B56" s="79"/>
      <c r="C56" s="10" t="str">
        <f t="shared" si="8"/>
        <v>010000C8</v>
      </c>
      <c r="D56" s="12" t="s">
        <v>134</v>
      </c>
      <c r="E56" s="13"/>
      <c r="F56" s="149" t="s">
        <v>135</v>
      </c>
      <c r="G56" s="150"/>
      <c r="H56" s="151"/>
      <c r="I56" s="13"/>
      <c r="J56" s="149" t="s">
        <v>136</v>
      </c>
      <c r="K56" s="150"/>
      <c r="L56" s="151"/>
      <c r="M56" s="13"/>
      <c r="N56" s="149" t="s">
        <v>137</v>
      </c>
      <c r="O56" s="150"/>
      <c r="P56" s="151"/>
      <c r="Q56" s="13"/>
      <c r="R56" s="149" t="s">
        <v>138</v>
      </c>
      <c r="S56" s="150"/>
      <c r="T56" s="151"/>
      <c r="U56" s="13"/>
      <c r="V56" s="149" t="s">
        <v>139</v>
      </c>
      <c r="W56" s="150"/>
      <c r="X56" s="151"/>
      <c r="Y56" s="13"/>
      <c r="Z56" s="149" t="s">
        <v>140</v>
      </c>
      <c r="AA56" s="150"/>
      <c r="AB56" s="151"/>
      <c r="AC56" s="13"/>
      <c r="AD56" s="149" t="s">
        <v>141</v>
      </c>
      <c r="AE56" s="150"/>
      <c r="AF56" s="151"/>
      <c r="AG56" s="13"/>
      <c r="AH56" s="149" t="s">
        <v>142</v>
      </c>
      <c r="AI56" s="150"/>
      <c r="AJ56" s="151"/>
      <c r="AL56" t="s">
        <v>124</v>
      </c>
    </row>
    <row r="57" spans="1:38" outlineLevel="2">
      <c r="A57" s="81"/>
      <c r="B57" s="79"/>
      <c r="C57" s="10" t="str">
        <f t="shared" si="8"/>
        <v>010000CC</v>
      </c>
      <c r="D57" s="57" t="s">
        <v>143</v>
      </c>
      <c r="E57" s="41"/>
      <c r="F57" s="149" t="s">
        <v>144</v>
      </c>
      <c r="G57" s="150"/>
      <c r="H57" s="151"/>
      <c r="I57" s="41"/>
      <c r="J57" s="149" t="s">
        <v>145</v>
      </c>
      <c r="K57" s="150"/>
      <c r="L57" s="151"/>
      <c r="M57" s="41"/>
      <c r="N57" s="149" t="s">
        <v>146</v>
      </c>
      <c r="O57" s="150"/>
      <c r="P57" s="151"/>
      <c r="Q57" s="13"/>
      <c r="R57" s="149" t="s">
        <v>147</v>
      </c>
      <c r="S57" s="150"/>
      <c r="T57" s="151"/>
      <c r="U57" s="13"/>
      <c r="V57" s="149" t="s">
        <v>148</v>
      </c>
      <c r="W57" s="150"/>
      <c r="X57" s="151"/>
      <c r="Y57" s="13"/>
      <c r="Z57" s="149" t="s">
        <v>149</v>
      </c>
      <c r="AA57" s="150"/>
      <c r="AB57" s="151"/>
      <c r="AC57" s="13"/>
      <c r="AD57" s="149" t="s">
        <v>150</v>
      </c>
      <c r="AE57" s="150"/>
      <c r="AF57" s="151"/>
      <c r="AG57" s="13"/>
      <c r="AH57" s="149" t="s">
        <v>151</v>
      </c>
      <c r="AI57" s="150"/>
      <c r="AJ57" s="151"/>
      <c r="AL57" t="s">
        <v>124</v>
      </c>
    </row>
    <row r="58" spans="1:38" outlineLevel="2">
      <c r="A58" s="81"/>
      <c r="B58" s="109" t="str">
        <f>DEC2HEX(HEX2DEC(B54) + 1)</f>
        <v>10000D</v>
      </c>
      <c r="C58" s="10" t="str">
        <f t="shared" si="8"/>
        <v>010000D0</v>
      </c>
      <c r="D58" s="58" t="s">
        <v>152</v>
      </c>
      <c r="E58" s="19"/>
      <c r="F58" s="149" t="s">
        <v>153</v>
      </c>
      <c r="G58" s="150"/>
      <c r="H58" s="151"/>
      <c r="I58" s="19"/>
      <c r="J58" s="149" t="s">
        <v>154</v>
      </c>
      <c r="K58" s="150"/>
      <c r="L58" s="151"/>
      <c r="M58" s="19"/>
      <c r="N58" s="149" t="s">
        <v>155</v>
      </c>
      <c r="O58" s="150"/>
      <c r="P58" s="151"/>
      <c r="Q58" s="13"/>
      <c r="R58" s="149" t="s">
        <v>156</v>
      </c>
      <c r="S58" s="150"/>
      <c r="T58" s="151"/>
      <c r="U58" s="13"/>
      <c r="V58" s="149" t="s">
        <v>157</v>
      </c>
      <c r="W58" s="150"/>
      <c r="X58" s="151"/>
      <c r="Y58" s="13"/>
      <c r="Z58" s="149" t="s">
        <v>158</v>
      </c>
      <c r="AA58" s="150"/>
      <c r="AB58" s="151"/>
      <c r="AC58" s="13"/>
      <c r="AD58" s="149" t="s">
        <v>159</v>
      </c>
      <c r="AE58" s="150"/>
      <c r="AF58" s="151"/>
      <c r="AG58" s="13"/>
      <c r="AH58" s="149" t="s">
        <v>160</v>
      </c>
      <c r="AI58" s="150"/>
      <c r="AJ58" s="151"/>
      <c r="AL58" t="s">
        <v>124</v>
      </c>
    </row>
    <row r="59" spans="1:38" outlineLevel="2">
      <c r="A59" s="81"/>
      <c r="B59" s="79"/>
      <c r="C59" s="10" t="str">
        <f t="shared" si="8"/>
        <v>010000D4</v>
      </c>
      <c r="D59" s="12" t="s">
        <v>161</v>
      </c>
      <c r="E59" s="13"/>
      <c r="F59" s="149" t="s">
        <v>162</v>
      </c>
      <c r="G59" s="150"/>
      <c r="H59" s="151"/>
      <c r="I59" s="13"/>
      <c r="J59" s="149" t="s">
        <v>163</v>
      </c>
      <c r="K59" s="150"/>
      <c r="L59" s="151"/>
      <c r="M59" s="13"/>
      <c r="N59" s="149" t="s">
        <v>164</v>
      </c>
      <c r="O59" s="150"/>
      <c r="P59" s="151"/>
      <c r="Q59" s="13"/>
      <c r="R59" s="149" t="s">
        <v>165</v>
      </c>
      <c r="S59" s="150"/>
      <c r="T59" s="151"/>
      <c r="U59" s="13"/>
      <c r="V59" s="149" t="s">
        <v>166</v>
      </c>
      <c r="W59" s="150"/>
      <c r="X59" s="151"/>
      <c r="Y59" s="13"/>
      <c r="Z59" s="149" t="s">
        <v>167</v>
      </c>
      <c r="AA59" s="150"/>
      <c r="AB59" s="151"/>
      <c r="AC59" s="13"/>
      <c r="AD59" s="149" t="s">
        <v>168</v>
      </c>
      <c r="AE59" s="150"/>
      <c r="AF59" s="151"/>
      <c r="AG59" s="13"/>
      <c r="AH59" s="149" t="s">
        <v>169</v>
      </c>
      <c r="AI59" s="150"/>
      <c r="AJ59" s="151"/>
      <c r="AL59" t="s">
        <v>124</v>
      </c>
    </row>
    <row r="60" spans="1:38" outlineLevel="2">
      <c r="A60" s="81"/>
      <c r="B60" s="79"/>
      <c r="C60" s="10" t="str">
        <f t="shared" si="8"/>
        <v>010000D8</v>
      </c>
      <c r="D60" s="12" t="s">
        <v>170</v>
      </c>
      <c r="E60" s="13"/>
      <c r="F60" s="149" t="s">
        <v>171</v>
      </c>
      <c r="G60" s="150"/>
      <c r="H60" s="151"/>
      <c r="I60" s="13"/>
      <c r="J60" s="149" t="s">
        <v>172</v>
      </c>
      <c r="K60" s="150"/>
      <c r="L60" s="151"/>
      <c r="M60" s="13"/>
      <c r="N60" s="149" t="s">
        <v>173</v>
      </c>
      <c r="O60" s="150"/>
      <c r="P60" s="151"/>
      <c r="Q60" s="13"/>
      <c r="R60" s="149" t="s">
        <v>174</v>
      </c>
      <c r="S60" s="150"/>
      <c r="T60" s="151"/>
      <c r="U60" s="13"/>
      <c r="V60" s="149" t="s">
        <v>175</v>
      </c>
      <c r="W60" s="150"/>
      <c r="X60" s="151"/>
      <c r="Y60" s="13"/>
      <c r="Z60" s="149" t="s">
        <v>176</v>
      </c>
      <c r="AA60" s="150"/>
      <c r="AB60" s="151"/>
      <c r="AC60" s="13"/>
      <c r="AD60" s="149" t="s">
        <v>177</v>
      </c>
      <c r="AE60" s="150"/>
      <c r="AF60" s="151"/>
      <c r="AG60" s="13"/>
      <c r="AH60" s="149" t="s">
        <v>178</v>
      </c>
      <c r="AI60" s="150"/>
      <c r="AJ60" s="151"/>
      <c r="AL60" t="s">
        <v>124</v>
      </c>
    </row>
    <row r="61" spans="1:38" outlineLevel="2">
      <c r="A61" s="81"/>
      <c r="B61" s="79"/>
      <c r="C61" s="10" t="str">
        <f t="shared" si="8"/>
        <v>010000DC</v>
      </c>
      <c r="D61" s="12" t="s">
        <v>179</v>
      </c>
      <c r="E61" s="13"/>
      <c r="F61" s="149" t="s">
        <v>180</v>
      </c>
      <c r="G61" s="150"/>
      <c r="H61" s="151"/>
      <c r="I61" s="13"/>
      <c r="J61" s="149" t="s">
        <v>181</v>
      </c>
      <c r="K61" s="150"/>
      <c r="L61" s="151"/>
      <c r="M61" s="13"/>
      <c r="N61" s="149" t="s">
        <v>182</v>
      </c>
      <c r="O61" s="150"/>
      <c r="P61" s="151"/>
      <c r="Q61" s="13"/>
      <c r="R61" s="149" t="s">
        <v>183</v>
      </c>
      <c r="S61" s="150"/>
      <c r="T61" s="151"/>
      <c r="U61" s="13"/>
      <c r="V61" s="149" t="s">
        <v>184</v>
      </c>
      <c r="W61" s="150"/>
      <c r="X61" s="151"/>
      <c r="Y61" s="13"/>
      <c r="Z61" s="149" t="s">
        <v>185</v>
      </c>
      <c r="AA61" s="150"/>
      <c r="AB61" s="151"/>
      <c r="AC61" s="13"/>
      <c r="AD61" s="149" t="s">
        <v>186</v>
      </c>
      <c r="AE61" s="150"/>
      <c r="AF61" s="151"/>
      <c r="AG61" s="13"/>
      <c r="AH61" s="149" t="s">
        <v>187</v>
      </c>
      <c r="AI61" s="150"/>
      <c r="AJ61" s="151"/>
      <c r="AL61" t="s">
        <v>124</v>
      </c>
    </row>
    <row r="62" spans="1:38" outlineLevel="2">
      <c r="A62" s="81"/>
      <c r="B62" s="109" t="str">
        <f>DEC2HEX(HEX2DEC(B58) + 1)</f>
        <v>10000E</v>
      </c>
      <c r="C62" s="10" t="str">
        <f t="shared" si="8"/>
        <v>010000E0</v>
      </c>
      <c r="D62" s="64" t="s">
        <v>188</v>
      </c>
      <c r="E62" s="152" t="s">
        <v>189</v>
      </c>
      <c r="F62" s="153"/>
      <c r="G62" s="153"/>
      <c r="H62" s="153"/>
      <c r="I62" s="153"/>
      <c r="J62" s="153"/>
      <c r="K62" s="153"/>
      <c r="L62" s="153"/>
      <c r="M62" s="153"/>
      <c r="N62" s="153"/>
      <c r="O62" s="153"/>
      <c r="P62" s="153"/>
      <c r="Q62" s="153"/>
      <c r="R62" s="153"/>
      <c r="S62" s="153"/>
      <c r="T62" s="153"/>
      <c r="U62" s="153"/>
      <c r="V62" s="153"/>
      <c r="W62" s="153"/>
      <c r="X62" s="153"/>
      <c r="Y62" s="153"/>
      <c r="Z62" s="153"/>
      <c r="AA62" s="153"/>
      <c r="AB62" s="153"/>
      <c r="AC62" s="153"/>
      <c r="AD62" s="153"/>
      <c r="AE62" s="153"/>
      <c r="AF62" s="153"/>
      <c r="AG62" s="153"/>
      <c r="AH62" s="153"/>
      <c r="AI62" s="153"/>
      <c r="AJ62" s="154"/>
    </row>
    <row r="63" spans="1:38" outlineLevel="2">
      <c r="A63" s="81"/>
      <c r="B63" s="79"/>
      <c r="C63" s="10" t="str">
        <f t="shared" si="8"/>
        <v>010000E4</v>
      </c>
      <c r="D63" s="65" t="s">
        <v>188</v>
      </c>
      <c r="E63" s="155" t="s">
        <v>190</v>
      </c>
      <c r="F63" s="156"/>
      <c r="G63" s="156"/>
      <c r="H63" s="156"/>
      <c r="I63" s="156"/>
      <c r="J63" s="156"/>
      <c r="K63" s="156"/>
      <c r="L63" s="156"/>
      <c r="M63" s="156"/>
      <c r="N63" s="156"/>
      <c r="O63" s="156"/>
      <c r="P63" s="156"/>
      <c r="Q63" s="156"/>
      <c r="R63" s="156"/>
      <c r="S63" s="156"/>
      <c r="T63" s="156"/>
      <c r="U63" s="156"/>
      <c r="V63" s="156"/>
      <c r="W63" s="156"/>
      <c r="X63" s="156"/>
      <c r="Y63" s="156"/>
      <c r="Z63" s="156"/>
      <c r="AA63" s="156"/>
      <c r="AB63" s="156"/>
      <c r="AC63" s="156"/>
      <c r="AD63" s="156"/>
      <c r="AE63" s="156"/>
      <c r="AF63" s="156"/>
      <c r="AG63" s="156"/>
      <c r="AH63" s="156"/>
      <c r="AI63" s="156"/>
      <c r="AJ63" s="157"/>
    </row>
    <row r="64" spans="1:38" outlineLevel="2">
      <c r="A64" s="81"/>
      <c r="B64" s="79"/>
      <c r="C64" s="10" t="str">
        <f t="shared" si="8"/>
        <v>010000E8</v>
      </c>
      <c r="D64" s="65" t="s">
        <v>188</v>
      </c>
      <c r="E64" s="155" t="s">
        <v>191</v>
      </c>
      <c r="F64" s="156"/>
      <c r="G64" s="156"/>
      <c r="H64" s="156"/>
      <c r="I64" s="156"/>
      <c r="J64" s="156"/>
      <c r="K64" s="156"/>
      <c r="L64" s="156"/>
      <c r="M64" s="156"/>
      <c r="N64" s="156"/>
      <c r="O64" s="156"/>
      <c r="P64" s="156"/>
      <c r="Q64" s="156"/>
      <c r="R64" s="156"/>
      <c r="S64" s="156"/>
      <c r="T64" s="156"/>
      <c r="U64" s="156"/>
      <c r="V64" s="156"/>
      <c r="W64" s="156"/>
      <c r="X64" s="156"/>
      <c r="Y64" s="156"/>
      <c r="Z64" s="156"/>
      <c r="AA64" s="156"/>
      <c r="AB64" s="156"/>
      <c r="AC64" s="156"/>
      <c r="AD64" s="156"/>
      <c r="AE64" s="156"/>
      <c r="AF64" s="156"/>
      <c r="AG64" s="156"/>
      <c r="AH64" s="156"/>
      <c r="AI64" s="156"/>
      <c r="AJ64" s="157"/>
    </row>
    <row r="65" spans="1:36" outlineLevel="2">
      <c r="A65" s="81"/>
      <c r="B65" s="79"/>
      <c r="C65" s="10" t="str">
        <f t="shared" si="8"/>
        <v>010000EC</v>
      </c>
      <c r="D65" s="66" t="s">
        <v>188</v>
      </c>
      <c r="E65" s="158" t="s">
        <v>192</v>
      </c>
      <c r="F65" s="159"/>
      <c r="G65" s="159"/>
      <c r="H65" s="159"/>
      <c r="I65" s="159"/>
      <c r="J65" s="159"/>
      <c r="K65" s="159"/>
      <c r="L65" s="159"/>
      <c r="M65" s="159"/>
      <c r="N65" s="159"/>
      <c r="O65" s="159"/>
      <c r="P65" s="159"/>
      <c r="Q65" s="159"/>
      <c r="R65" s="159"/>
      <c r="S65" s="159"/>
      <c r="T65" s="159"/>
      <c r="U65" s="159"/>
      <c r="V65" s="159"/>
      <c r="W65" s="159"/>
      <c r="X65" s="159"/>
      <c r="Y65" s="159"/>
      <c r="Z65" s="159"/>
      <c r="AA65" s="159"/>
      <c r="AB65" s="159"/>
      <c r="AC65" s="159"/>
      <c r="AD65" s="159"/>
      <c r="AE65" s="159"/>
      <c r="AF65" s="159"/>
      <c r="AG65" s="159"/>
      <c r="AH65" s="159"/>
      <c r="AI65" s="159"/>
      <c r="AJ65" s="160"/>
    </row>
    <row r="66" spans="1:36" outlineLevel="2">
      <c r="A66" s="81"/>
      <c r="B66" s="109" t="str">
        <f>DEC2HEX(HEX2DEC(B62) + 1)</f>
        <v>10000F</v>
      </c>
      <c r="C66" s="10" t="str">
        <f t="shared" si="8"/>
        <v>010000F0</v>
      </c>
      <c r="D66" s="64" t="s">
        <v>193</v>
      </c>
      <c r="E66" s="152" t="s">
        <v>194</v>
      </c>
      <c r="F66" s="153"/>
      <c r="G66" s="153"/>
      <c r="H66" s="153"/>
      <c r="I66" s="153"/>
      <c r="J66" s="153"/>
      <c r="K66" s="153"/>
      <c r="L66" s="153"/>
      <c r="M66" s="153"/>
      <c r="N66" s="153"/>
      <c r="O66" s="153"/>
      <c r="P66" s="153"/>
      <c r="Q66" s="153"/>
      <c r="R66" s="153"/>
      <c r="S66" s="153"/>
      <c r="T66" s="153"/>
      <c r="U66" s="153"/>
      <c r="V66" s="153"/>
      <c r="W66" s="153"/>
      <c r="X66" s="153"/>
      <c r="Y66" s="153"/>
      <c r="Z66" s="153"/>
      <c r="AA66" s="153"/>
      <c r="AB66" s="153"/>
      <c r="AC66" s="153"/>
      <c r="AD66" s="153"/>
      <c r="AE66" s="153"/>
      <c r="AF66" s="153"/>
      <c r="AG66" s="153"/>
      <c r="AH66" s="153"/>
      <c r="AI66" s="153"/>
      <c r="AJ66" s="154"/>
    </row>
    <row r="67" spans="1:36" outlineLevel="2">
      <c r="A67" s="81"/>
      <c r="B67" s="79"/>
      <c r="C67" s="10" t="str">
        <f t="shared" si="8"/>
        <v>010000F4</v>
      </c>
      <c r="D67" s="65" t="s">
        <v>193</v>
      </c>
      <c r="E67" s="155" t="s">
        <v>195</v>
      </c>
      <c r="F67" s="156"/>
      <c r="G67" s="156"/>
      <c r="H67" s="156"/>
      <c r="I67" s="156"/>
      <c r="J67" s="156"/>
      <c r="K67" s="156"/>
      <c r="L67" s="156"/>
      <c r="M67" s="156"/>
      <c r="N67" s="156"/>
      <c r="O67" s="156"/>
      <c r="P67" s="156"/>
      <c r="Q67" s="156"/>
      <c r="R67" s="156"/>
      <c r="S67" s="156"/>
      <c r="T67" s="156"/>
      <c r="U67" s="156"/>
      <c r="V67" s="156"/>
      <c r="W67" s="156"/>
      <c r="X67" s="156"/>
      <c r="Y67" s="156"/>
      <c r="Z67" s="156"/>
      <c r="AA67" s="156"/>
      <c r="AB67" s="156"/>
      <c r="AC67" s="156"/>
      <c r="AD67" s="156"/>
      <c r="AE67" s="156"/>
      <c r="AF67" s="156"/>
      <c r="AG67" s="156"/>
      <c r="AH67" s="156"/>
      <c r="AI67" s="156"/>
      <c r="AJ67" s="157"/>
    </row>
    <row r="68" spans="1:36" outlineLevel="2">
      <c r="A68" s="81"/>
      <c r="B68" s="79"/>
      <c r="C68" s="10" t="str">
        <f t="shared" si="8"/>
        <v>010000F8</v>
      </c>
      <c r="D68" s="65" t="s">
        <v>193</v>
      </c>
      <c r="E68" s="155" t="s">
        <v>196</v>
      </c>
      <c r="F68" s="156"/>
      <c r="G68" s="156"/>
      <c r="H68" s="156"/>
      <c r="I68" s="156"/>
      <c r="J68" s="156"/>
      <c r="K68" s="156"/>
      <c r="L68" s="156"/>
      <c r="M68" s="156"/>
      <c r="N68" s="156"/>
      <c r="O68" s="156"/>
      <c r="P68" s="156"/>
      <c r="Q68" s="156"/>
      <c r="R68" s="156"/>
      <c r="S68" s="156"/>
      <c r="T68" s="156"/>
      <c r="U68" s="156"/>
      <c r="V68" s="156"/>
      <c r="W68" s="156"/>
      <c r="X68" s="156"/>
      <c r="Y68" s="156"/>
      <c r="Z68" s="156"/>
      <c r="AA68" s="156"/>
      <c r="AB68" s="156"/>
      <c r="AC68" s="156"/>
      <c r="AD68" s="156"/>
      <c r="AE68" s="156"/>
      <c r="AF68" s="156"/>
      <c r="AG68" s="156"/>
      <c r="AH68" s="156"/>
      <c r="AI68" s="156"/>
      <c r="AJ68" s="157"/>
    </row>
    <row r="69" spans="1:36" outlineLevel="2">
      <c r="A69" s="81"/>
      <c r="B69" s="79"/>
      <c r="C69" s="10" t="str">
        <f t="shared" si="8"/>
        <v>010000FC</v>
      </c>
      <c r="D69" s="66" t="s">
        <v>193</v>
      </c>
      <c r="E69" s="158" t="s">
        <v>197</v>
      </c>
      <c r="F69" s="159"/>
      <c r="G69" s="159"/>
      <c r="H69" s="159"/>
      <c r="I69" s="159"/>
      <c r="J69" s="159"/>
      <c r="K69" s="159"/>
      <c r="L69" s="159"/>
      <c r="M69" s="159"/>
      <c r="N69" s="159"/>
      <c r="O69" s="159"/>
      <c r="P69" s="159"/>
      <c r="Q69" s="159"/>
      <c r="R69" s="159"/>
      <c r="S69" s="159"/>
      <c r="T69" s="159"/>
      <c r="U69" s="159"/>
      <c r="V69" s="159"/>
      <c r="W69" s="159"/>
      <c r="X69" s="159"/>
      <c r="Y69" s="159"/>
      <c r="Z69" s="159"/>
      <c r="AA69" s="159"/>
      <c r="AB69" s="159"/>
      <c r="AC69" s="159"/>
      <c r="AD69" s="159"/>
      <c r="AE69" s="159"/>
      <c r="AF69" s="159"/>
      <c r="AG69" s="159"/>
      <c r="AH69" s="159"/>
      <c r="AI69" s="159"/>
      <c r="AJ69" s="160"/>
    </row>
    <row r="70" spans="1:36" outlineLevel="2">
      <c r="A70" s="81"/>
      <c r="B70" s="109" t="str">
        <f>DEC2HEX(HEX2DEC(B66) + 1)</f>
        <v>100010</v>
      </c>
      <c r="C70" s="10" t="str">
        <f t="shared" si="8"/>
        <v>01000100</v>
      </c>
      <c r="D70" s="44" t="s">
        <v>198</v>
      </c>
      <c r="E70" s="161" t="s">
        <v>199</v>
      </c>
      <c r="F70" s="162"/>
      <c r="G70" s="162"/>
      <c r="H70" s="162"/>
      <c r="I70" s="162"/>
      <c r="J70" s="162"/>
      <c r="K70" s="162"/>
      <c r="L70" s="163"/>
      <c r="M70" s="161" t="s">
        <v>200</v>
      </c>
      <c r="N70" s="162"/>
      <c r="O70" s="162"/>
      <c r="P70" s="162"/>
      <c r="Q70" s="162"/>
      <c r="R70" s="162"/>
      <c r="S70" s="162"/>
      <c r="T70" s="163"/>
      <c r="U70" s="161" t="s">
        <v>201</v>
      </c>
      <c r="V70" s="162"/>
      <c r="W70" s="162"/>
      <c r="X70" s="162"/>
      <c r="Y70" s="162"/>
      <c r="Z70" s="162"/>
      <c r="AA70" s="162"/>
      <c r="AB70" s="163"/>
      <c r="AC70" s="161" t="s">
        <v>202</v>
      </c>
      <c r="AD70" s="162"/>
      <c r="AE70" s="162"/>
      <c r="AF70" s="162"/>
      <c r="AG70" s="162"/>
      <c r="AH70" s="162"/>
      <c r="AI70" s="162"/>
      <c r="AJ70" s="163"/>
    </row>
    <row r="71" spans="1:36" outlineLevel="2">
      <c r="A71" s="81"/>
      <c r="B71" s="79"/>
      <c r="C71" s="10" t="str">
        <f t="shared" si="8"/>
        <v>01000104</v>
      </c>
      <c r="D71" s="45"/>
      <c r="E71" s="161" t="s">
        <v>203</v>
      </c>
      <c r="F71" s="162"/>
      <c r="G71" s="162"/>
      <c r="H71" s="162"/>
      <c r="I71" s="162"/>
      <c r="J71" s="162"/>
      <c r="K71" s="162"/>
      <c r="L71" s="163"/>
      <c r="M71" s="161" t="s">
        <v>204</v>
      </c>
      <c r="N71" s="162"/>
      <c r="O71" s="162"/>
      <c r="P71" s="162"/>
      <c r="Q71" s="162"/>
      <c r="R71" s="162"/>
      <c r="S71" s="162"/>
      <c r="T71" s="163"/>
      <c r="U71" s="161" t="s">
        <v>205</v>
      </c>
      <c r="V71" s="162"/>
      <c r="W71" s="162"/>
      <c r="X71" s="162"/>
      <c r="Y71" s="162"/>
      <c r="Z71" s="162"/>
      <c r="AA71" s="162"/>
      <c r="AB71" s="163"/>
      <c r="AC71" s="161" t="s">
        <v>206</v>
      </c>
      <c r="AD71" s="162"/>
      <c r="AE71" s="162"/>
      <c r="AF71" s="162"/>
      <c r="AG71" s="162"/>
      <c r="AH71" s="162"/>
      <c r="AI71" s="162"/>
      <c r="AJ71" s="163"/>
    </row>
    <row r="72" spans="1:36" outlineLevel="2">
      <c r="A72" s="81"/>
      <c r="B72" s="79"/>
      <c r="C72" s="10" t="str">
        <f t="shared" si="8"/>
        <v>01000108</v>
      </c>
      <c r="D72" s="45"/>
      <c r="E72" s="161" t="s">
        <v>207</v>
      </c>
      <c r="F72" s="162"/>
      <c r="G72" s="162"/>
      <c r="H72" s="162"/>
      <c r="I72" s="162"/>
      <c r="J72" s="162"/>
      <c r="K72" s="162"/>
      <c r="L72" s="163"/>
      <c r="M72" s="161" t="s">
        <v>208</v>
      </c>
      <c r="N72" s="162"/>
      <c r="O72" s="162"/>
      <c r="P72" s="162"/>
      <c r="Q72" s="162"/>
      <c r="R72" s="162"/>
      <c r="S72" s="162"/>
      <c r="T72" s="163"/>
      <c r="U72" s="161" t="s">
        <v>209</v>
      </c>
      <c r="V72" s="162"/>
      <c r="W72" s="162"/>
      <c r="X72" s="162"/>
      <c r="Y72" s="162"/>
      <c r="Z72" s="162"/>
      <c r="AA72" s="162"/>
      <c r="AB72" s="163"/>
      <c r="AC72" s="161" t="s">
        <v>210</v>
      </c>
      <c r="AD72" s="162"/>
      <c r="AE72" s="162"/>
      <c r="AF72" s="162"/>
      <c r="AG72" s="162"/>
      <c r="AH72" s="162"/>
      <c r="AI72" s="162"/>
      <c r="AJ72" s="163"/>
    </row>
    <row r="73" spans="1:36" outlineLevel="2">
      <c r="A73" s="81"/>
      <c r="B73" s="79"/>
      <c r="C73" s="10" t="str">
        <f t="shared" si="8"/>
        <v>0100010C</v>
      </c>
      <c r="D73" s="45"/>
      <c r="E73" s="161" t="s">
        <v>211</v>
      </c>
      <c r="F73" s="162"/>
      <c r="G73" s="162"/>
      <c r="H73" s="162"/>
      <c r="I73" s="162"/>
      <c r="J73" s="162"/>
      <c r="K73" s="162"/>
      <c r="L73" s="163"/>
      <c r="M73" s="161" t="s">
        <v>212</v>
      </c>
      <c r="N73" s="162"/>
      <c r="O73" s="162"/>
      <c r="P73" s="162"/>
      <c r="Q73" s="162"/>
      <c r="R73" s="162"/>
      <c r="S73" s="162"/>
      <c r="T73" s="163"/>
      <c r="U73" s="161" t="s">
        <v>213</v>
      </c>
      <c r="V73" s="162"/>
      <c r="W73" s="162"/>
      <c r="X73" s="162"/>
      <c r="Y73" s="162"/>
      <c r="Z73" s="162"/>
      <c r="AA73" s="162"/>
      <c r="AB73" s="163"/>
      <c r="AC73" s="161" t="s">
        <v>214</v>
      </c>
      <c r="AD73" s="162"/>
      <c r="AE73" s="162"/>
      <c r="AF73" s="162"/>
      <c r="AG73" s="162"/>
      <c r="AH73" s="162"/>
      <c r="AI73" s="162"/>
      <c r="AJ73" s="163"/>
    </row>
    <row r="74" spans="1:36" outlineLevel="2">
      <c r="A74" s="81"/>
      <c r="B74" s="109" t="str">
        <f>DEC2HEX(HEX2DEC(B70) + 1)</f>
        <v>100011</v>
      </c>
      <c r="C74" s="10" t="str">
        <f t="shared" si="8"/>
        <v>01000110</v>
      </c>
      <c r="D74" s="45"/>
      <c r="E74" s="161" t="s">
        <v>215</v>
      </c>
      <c r="F74" s="162"/>
      <c r="G74" s="162"/>
      <c r="H74" s="162"/>
      <c r="I74" s="162"/>
      <c r="J74" s="162"/>
      <c r="K74" s="162"/>
      <c r="L74" s="163"/>
      <c r="M74" s="161" t="s">
        <v>216</v>
      </c>
      <c r="N74" s="162"/>
      <c r="O74" s="162"/>
      <c r="P74" s="162"/>
      <c r="Q74" s="162"/>
      <c r="R74" s="162"/>
      <c r="S74" s="162"/>
      <c r="T74" s="163"/>
      <c r="U74" s="161" t="s">
        <v>217</v>
      </c>
      <c r="V74" s="162"/>
      <c r="W74" s="162"/>
      <c r="X74" s="162"/>
      <c r="Y74" s="162"/>
      <c r="Z74" s="162"/>
      <c r="AA74" s="162"/>
      <c r="AB74" s="163"/>
      <c r="AC74" s="161" t="s">
        <v>218</v>
      </c>
      <c r="AD74" s="162"/>
      <c r="AE74" s="162"/>
      <c r="AF74" s="162"/>
      <c r="AG74" s="162"/>
      <c r="AH74" s="162"/>
      <c r="AI74" s="162"/>
      <c r="AJ74" s="163"/>
    </row>
    <row r="75" spans="1:36" outlineLevel="2">
      <c r="A75" s="81"/>
      <c r="B75" s="79"/>
      <c r="C75" s="10" t="str">
        <f t="shared" si="8"/>
        <v>01000114</v>
      </c>
      <c r="D75" s="45"/>
      <c r="E75" s="161" t="s">
        <v>219</v>
      </c>
      <c r="F75" s="162"/>
      <c r="G75" s="162"/>
      <c r="H75" s="162"/>
      <c r="I75" s="162"/>
      <c r="J75" s="162"/>
      <c r="K75" s="162"/>
      <c r="L75" s="163"/>
      <c r="M75" s="161" t="s">
        <v>220</v>
      </c>
      <c r="N75" s="162"/>
      <c r="O75" s="162"/>
      <c r="P75" s="162"/>
      <c r="Q75" s="162"/>
      <c r="R75" s="162"/>
      <c r="S75" s="162"/>
      <c r="T75" s="163"/>
      <c r="U75" s="161" t="s">
        <v>221</v>
      </c>
      <c r="V75" s="162"/>
      <c r="W75" s="162"/>
      <c r="X75" s="162"/>
      <c r="Y75" s="162"/>
      <c r="Z75" s="162"/>
      <c r="AA75" s="162"/>
      <c r="AB75" s="163"/>
      <c r="AC75" s="161" t="s">
        <v>222</v>
      </c>
      <c r="AD75" s="162"/>
      <c r="AE75" s="162"/>
      <c r="AF75" s="162"/>
      <c r="AG75" s="162"/>
      <c r="AH75" s="162"/>
      <c r="AI75" s="162"/>
      <c r="AJ75" s="163"/>
    </row>
    <row r="76" spans="1:36" outlineLevel="2">
      <c r="A76" s="81"/>
      <c r="B76" s="79"/>
      <c r="C76" s="10" t="str">
        <f t="shared" si="8"/>
        <v>01000118</v>
      </c>
      <c r="D76" s="45"/>
      <c r="E76" s="161" t="s">
        <v>223</v>
      </c>
      <c r="F76" s="162"/>
      <c r="G76" s="162"/>
      <c r="H76" s="162"/>
      <c r="I76" s="162"/>
      <c r="J76" s="162"/>
      <c r="K76" s="162"/>
      <c r="L76" s="163"/>
      <c r="M76" s="161" t="s">
        <v>224</v>
      </c>
      <c r="N76" s="162"/>
      <c r="O76" s="162"/>
      <c r="P76" s="162"/>
      <c r="Q76" s="162"/>
      <c r="R76" s="162"/>
      <c r="S76" s="162"/>
      <c r="T76" s="163"/>
      <c r="U76" s="161" t="s">
        <v>225</v>
      </c>
      <c r="V76" s="162"/>
      <c r="W76" s="162"/>
      <c r="X76" s="162"/>
      <c r="Y76" s="162"/>
      <c r="Z76" s="162"/>
      <c r="AA76" s="162"/>
      <c r="AB76" s="163"/>
      <c r="AC76" s="161" t="s">
        <v>226</v>
      </c>
      <c r="AD76" s="162"/>
      <c r="AE76" s="162"/>
      <c r="AF76" s="162"/>
      <c r="AG76" s="162"/>
      <c r="AH76" s="162"/>
      <c r="AI76" s="162"/>
      <c r="AJ76" s="163"/>
    </row>
    <row r="77" spans="1:36" outlineLevel="2">
      <c r="A77" s="81"/>
      <c r="B77" s="79"/>
      <c r="C77" s="10" t="str">
        <f t="shared" si="8"/>
        <v>0100011C</v>
      </c>
      <c r="D77" s="45"/>
      <c r="E77" s="161" t="s">
        <v>227</v>
      </c>
      <c r="F77" s="162"/>
      <c r="G77" s="162"/>
      <c r="H77" s="162"/>
      <c r="I77" s="162"/>
      <c r="J77" s="162"/>
      <c r="K77" s="162"/>
      <c r="L77" s="163"/>
      <c r="M77" s="161" t="s">
        <v>228</v>
      </c>
      <c r="N77" s="162"/>
      <c r="O77" s="162"/>
      <c r="P77" s="162"/>
      <c r="Q77" s="162"/>
      <c r="R77" s="162"/>
      <c r="S77" s="162"/>
      <c r="T77" s="163"/>
      <c r="U77" s="161" t="s">
        <v>229</v>
      </c>
      <c r="V77" s="162"/>
      <c r="W77" s="162"/>
      <c r="X77" s="162"/>
      <c r="Y77" s="162"/>
      <c r="Z77" s="162"/>
      <c r="AA77" s="162"/>
      <c r="AB77" s="163"/>
      <c r="AC77" s="161" t="s">
        <v>230</v>
      </c>
      <c r="AD77" s="162"/>
      <c r="AE77" s="162"/>
      <c r="AF77" s="162"/>
      <c r="AG77" s="162"/>
      <c r="AH77" s="162"/>
      <c r="AI77" s="162"/>
      <c r="AJ77" s="163"/>
    </row>
    <row r="78" spans="1:36" outlineLevel="2">
      <c r="A78" s="81"/>
      <c r="B78" s="109" t="str">
        <f>DEC2HEX(HEX2DEC(B74) + 1)</f>
        <v>100012</v>
      </c>
      <c r="C78" s="10" t="str">
        <f t="shared" si="8"/>
        <v>01000120</v>
      </c>
      <c r="D78" s="45"/>
      <c r="E78" s="161" t="s">
        <v>231</v>
      </c>
      <c r="F78" s="162"/>
      <c r="G78" s="162"/>
      <c r="H78" s="162"/>
      <c r="I78" s="162"/>
      <c r="J78" s="162"/>
      <c r="K78" s="162"/>
      <c r="L78" s="163"/>
      <c r="M78" s="161" t="s">
        <v>232</v>
      </c>
      <c r="N78" s="162"/>
      <c r="O78" s="162"/>
      <c r="P78" s="162"/>
      <c r="Q78" s="162"/>
      <c r="R78" s="162"/>
      <c r="S78" s="162"/>
      <c r="T78" s="163"/>
      <c r="U78" s="161" t="s">
        <v>233</v>
      </c>
      <c r="V78" s="162"/>
      <c r="W78" s="162"/>
      <c r="X78" s="162"/>
      <c r="Y78" s="162"/>
      <c r="Z78" s="162"/>
      <c r="AA78" s="162"/>
      <c r="AB78" s="163"/>
      <c r="AC78" s="161" t="s">
        <v>234</v>
      </c>
      <c r="AD78" s="162"/>
      <c r="AE78" s="162"/>
      <c r="AF78" s="162"/>
      <c r="AG78" s="162"/>
      <c r="AH78" s="162"/>
      <c r="AI78" s="162"/>
      <c r="AJ78" s="163"/>
    </row>
    <row r="79" spans="1:36" outlineLevel="2">
      <c r="A79" s="81"/>
      <c r="B79" s="79"/>
      <c r="C79" s="10" t="str">
        <f t="shared" si="8"/>
        <v>01000124</v>
      </c>
      <c r="D79" s="45"/>
      <c r="E79" s="161" t="s">
        <v>235</v>
      </c>
      <c r="F79" s="162"/>
      <c r="G79" s="162"/>
      <c r="H79" s="162"/>
      <c r="I79" s="162"/>
      <c r="J79" s="162"/>
      <c r="K79" s="162"/>
      <c r="L79" s="163"/>
      <c r="M79" s="161" t="s">
        <v>236</v>
      </c>
      <c r="N79" s="162"/>
      <c r="O79" s="162"/>
      <c r="P79" s="162"/>
      <c r="Q79" s="162"/>
      <c r="R79" s="162"/>
      <c r="S79" s="162"/>
      <c r="T79" s="163"/>
      <c r="U79" s="161" t="s">
        <v>237</v>
      </c>
      <c r="V79" s="162"/>
      <c r="W79" s="162"/>
      <c r="X79" s="162"/>
      <c r="Y79" s="162"/>
      <c r="Z79" s="162"/>
      <c r="AA79" s="162"/>
      <c r="AB79" s="163"/>
      <c r="AC79" s="161" t="s">
        <v>238</v>
      </c>
      <c r="AD79" s="162"/>
      <c r="AE79" s="162"/>
      <c r="AF79" s="162"/>
      <c r="AG79" s="162"/>
      <c r="AH79" s="162"/>
      <c r="AI79" s="162"/>
      <c r="AJ79" s="163"/>
    </row>
    <row r="80" spans="1:36" outlineLevel="2">
      <c r="A80" s="81"/>
      <c r="B80" s="79"/>
      <c r="C80" s="10" t="str">
        <f t="shared" si="8"/>
        <v>01000128</v>
      </c>
      <c r="D80" s="45"/>
      <c r="E80" s="161" t="s">
        <v>239</v>
      </c>
      <c r="F80" s="162"/>
      <c r="G80" s="162"/>
      <c r="H80" s="162"/>
      <c r="I80" s="162"/>
      <c r="J80" s="162"/>
      <c r="K80" s="162"/>
      <c r="L80" s="163"/>
      <c r="M80" s="161" t="s">
        <v>240</v>
      </c>
      <c r="N80" s="162"/>
      <c r="O80" s="162"/>
      <c r="P80" s="162"/>
      <c r="Q80" s="162"/>
      <c r="R80" s="162"/>
      <c r="S80" s="162"/>
      <c r="T80" s="163"/>
      <c r="U80" s="161" t="s">
        <v>241</v>
      </c>
      <c r="V80" s="162"/>
      <c r="W80" s="162"/>
      <c r="X80" s="162"/>
      <c r="Y80" s="162"/>
      <c r="Z80" s="162"/>
      <c r="AA80" s="162"/>
      <c r="AB80" s="163"/>
      <c r="AC80" s="161" t="s">
        <v>242</v>
      </c>
      <c r="AD80" s="162"/>
      <c r="AE80" s="162"/>
      <c r="AF80" s="162"/>
      <c r="AG80" s="162"/>
      <c r="AH80" s="162"/>
      <c r="AI80" s="162"/>
      <c r="AJ80" s="163"/>
    </row>
    <row r="81" spans="1:36" outlineLevel="2">
      <c r="A81" s="81"/>
      <c r="B81" s="79"/>
      <c r="C81" s="10" t="str">
        <f t="shared" si="8"/>
        <v>0100012C</v>
      </c>
      <c r="D81" s="45"/>
      <c r="E81" s="161" t="s">
        <v>243</v>
      </c>
      <c r="F81" s="162"/>
      <c r="G81" s="162"/>
      <c r="H81" s="162"/>
      <c r="I81" s="162"/>
      <c r="J81" s="162"/>
      <c r="K81" s="162"/>
      <c r="L81" s="163"/>
      <c r="M81" s="161" t="s">
        <v>244</v>
      </c>
      <c r="N81" s="162"/>
      <c r="O81" s="162"/>
      <c r="P81" s="162"/>
      <c r="Q81" s="162"/>
      <c r="R81" s="162"/>
      <c r="S81" s="162"/>
      <c r="T81" s="163"/>
      <c r="U81" s="161" t="s">
        <v>245</v>
      </c>
      <c r="V81" s="162"/>
      <c r="W81" s="162"/>
      <c r="X81" s="162"/>
      <c r="Y81" s="162"/>
      <c r="Z81" s="162"/>
      <c r="AA81" s="162"/>
      <c r="AB81" s="163"/>
      <c r="AC81" s="161" t="s">
        <v>246</v>
      </c>
      <c r="AD81" s="162"/>
      <c r="AE81" s="162"/>
      <c r="AF81" s="162"/>
      <c r="AG81" s="162"/>
      <c r="AH81" s="162"/>
      <c r="AI81" s="162"/>
      <c r="AJ81" s="163"/>
    </row>
    <row r="82" spans="1:36" outlineLevel="2">
      <c r="A82" s="81"/>
      <c r="B82" s="109" t="str">
        <f>DEC2HEX(HEX2DEC(B78) + 1)</f>
        <v>100013</v>
      </c>
      <c r="C82" s="10" t="str">
        <f t="shared" si="8"/>
        <v>01000130</v>
      </c>
      <c r="D82" s="45"/>
      <c r="E82" s="161" t="s">
        <v>247</v>
      </c>
      <c r="F82" s="162"/>
      <c r="G82" s="162"/>
      <c r="H82" s="162"/>
      <c r="I82" s="162"/>
      <c r="J82" s="162"/>
      <c r="K82" s="162"/>
      <c r="L82" s="163"/>
      <c r="M82" s="161" t="s">
        <v>248</v>
      </c>
      <c r="N82" s="162"/>
      <c r="O82" s="162"/>
      <c r="P82" s="162"/>
      <c r="Q82" s="162"/>
      <c r="R82" s="162"/>
      <c r="S82" s="162"/>
      <c r="T82" s="163"/>
      <c r="U82" s="161" t="s">
        <v>249</v>
      </c>
      <c r="V82" s="162"/>
      <c r="W82" s="162"/>
      <c r="X82" s="162"/>
      <c r="Y82" s="162"/>
      <c r="Z82" s="162"/>
      <c r="AA82" s="162"/>
      <c r="AB82" s="163"/>
      <c r="AC82" s="161" t="s">
        <v>250</v>
      </c>
      <c r="AD82" s="162"/>
      <c r="AE82" s="162"/>
      <c r="AF82" s="162"/>
      <c r="AG82" s="162"/>
      <c r="AH82" s="162"/>
      <c r="AI82" s="162"/>
      <c r="AJ82" s="163"/>
    </row>
    <row r="83" spans="1:36" outlineLevel="2">
      <c r="A83" s="81"/>
      <c r="B83" s="79"/>
      <c r="C83" s="10" t="str">
        <f t="shared" si="8"/>
        <v>01000134</v>
      </c>
      <c r="D83" s="45"/>
      <c r="E83" s="161" t="s">
        <v>251</v>
      </c>
      <c r="F83" s="162"/>
      <c r="G83" s="162"/>
      <c r="H83" s="162"/>
      <c r="I83" s="162"/>
      <c r="J83" s="162"/>
      <c r="K83" s="162"/>
      <c r="L83" s="163"/>
      <c r="M83" s="161" t="s">
        <v>252</v>
      </c>
      <c r="N83" s="162"/>
      <c r="O83" s="162"/>
      <c r="P83" s="162"/>
      <c r="Q83" s="162"/>
      <c r="R83" s="162"/>
      <c r="S83" s="162"/>
      <c r="T83" s="163"/>
      <c r="U83" s="161" t="s">
        <v>253</v>
      </c>
      <c r="V83" s="162"/>
      <c r="W83" s="162"/>
      <c r="X83" s="162"/>
      <c r="Y83" s="162"/>
      <c r="Z83" s="162"/>
      <c r="AA83" s="162"/>
      <c r="AB83" s="163"/>
      <c r="AC83" s="161" t="s">
        <v>254</v>
      </c>
      <c r="AD83" s="162"/>
      <c r="AE83" s="162"/>
      <c r="AF83" s="162"/>
      <c r="AG83" s="162"/>
      <c r="AH83" s="162"/>
      <c r="AI83" s="162"/>
      <c r="AJ83" s="163"/>
    </row>
    <row r="84" spans="1:36" outlineLevel="2">
      <c r="A84" s="81"/>
      <c r="B84" s="79"/>
      <c r="C84" s="10" t="str">
        <f t="shared" si="8"/>
        <v>01000138</v>
      </c>
      <c r="D84" s="45"/>
      <c r="E84" s="161" t="s">
        <v>255</v>
      </c>
      <c r="F84" s="162"/>
      <c r="G84" s="162"/>
      <c r="H84" s="162"/>
      <c r="I84" s="162"/>
      <c r="J84" s="162"/>
      <c r="K84" s="162"/>
      <c r="L84" s="163"/>
      <c r="M84" s="161" t="s">
        <v>256</v>
      </c>
      <c r="N84" s="162"/>
      <c r="O84" s="162"/>
      <c r="P84" s="162"/>
      <c r="Q84" s="162"/>
      <c r="R84" s="162"/>
      <c r="S84" s="162"/>
      <c r="T84" s="163"/>
      <c r="U84" s="161" t="s">
        <v>257</v>
      </c>
      <c r="V84" s="162"/>
      <c r="W84" s="162"/>
      <c r="X84" s="162"/>
      <c r="Y84" s="162"/>
      <c r="Z84" s="162"/>
      <c r="AA84" s="162"/>
      <c r="AB84" s="163"/>
      <c r="AC84" s="161" t="s">
        <v>258</v>
      </c>
      <c r="AD84" s="162"/>
      <c r="AE84" s="162"/>
      <c r="AF84" s="162"/>
      <c r="AG84" s="162"/>
      <c r="AH84" s="162"/>
      <c r="AI84" s="162"/>
      <c r="AJ84" s="163"/>
    </row>
    <row r="85" spans="1:36" outlineLevel="2">
      <c r="A85" s="81"/>
      <c r="B85" s="79"/>
      <c r="C85" s="10" t="str">
        <f t="shared" si="8"/>
        <v>0100013C</v>
      </c>
      <c r="D85" s="45"/>
      <c r="E85" s="161" t="s">
        <v>259</v>
      </c>
      <c r="F85" s="162"/>
      <c r="G85" s="162"/>
      <c r="H85" s="162"/>
      <c r="I85" s="162"/>
      <c r="J85" s="162"/>
      <c r="K85" s="162"/>
      <c r="L85" s="163"/>
      <c r="M85" s="161" t="s">
        <v>260</v>
      </c>
      <c r="N85" s="162"/>
      <c r="O85" s="162"/>
      <c r="P85" s="162"/>
      <c r="Q85" s="162"/>
      <c r="R85" s="162"/>
      <c r="S85" s="162"/>
      <c r="T85" s="163"/>
      <c r="U85" s="161" t="s">
        <v>261</v>
      </c>
      <c r="V85" s="162"/>
      <c r="W85" s="162"/>
      <c r="X85" s="162"/>
      <c r="Y85" s="162"/>
      <c r="Z85" s="162"/>
      <c r="AA85" s="162"/>
      <c r="AB85" s="163"/>
      <c r="AC85" s="161" t="s">
        <v>262</v>
      </c>
      <c r="AD85" s="162"/>
      <c r="AE85" s="162"/>
      <c r="AF85" s="162"/>
      <c r="AG85" s="162"/>
      <c r="AH85" s="162"/>
      <c r="AI85" s="162"/>
      <c r="AJ85" s="163"/>
    </row>
    <row r="86" spans="1:36" outlineLevel="2">
      <c r="A86" s="81"/>
      <c r="B86" s="109" t="str">
        <f>DEC2HEX(HEX2DEC(B82) + 1)</f>
        <v>100014</v>
      </c>
      <c r="C86" s="10" t="str">
        <f t="shared" si="8"/>
        <v>01000140</v>
      </c>
      <c r="D86" s="45"/>
      <c r="E86" s="161" t="s">
        <v>263</v>
      </c>
      <c r="F86" s="162"/>
      <c r="G86" s="162"/>
      <c r="H86" s="162"/>
      <c r="I86" s="162"/>
      <c r="J86" s="162"/>
      <c r="K86" s="162"/>
      <c r="L86" s="163"/>
      <c r="M86" s="161" t="s">
        <v>264</v>
      </c>
      <c r="N86" s="162"/>
      <c r="O86" s="162"/>
      <c r="P86" s="162"/>
      <c r="Q86" s="162"/>
      <c r="R86" s="162"/>
      <c r="S86" s="162"/>
      <c r="T86" s="163"/>
      <c r="U86" s="161" t="s">
        <v>265</v>
      </c>
      <c r="V86" s="162"/>
      <c r="W86" s="162"/>
      <c r="X86" s="162"/>
      <c r="Y86" s="162"/>
      <c r="Z86" s="162"/>
      <c r="AA86" s="162"/>
      <c r="AB86" s="163"/>
      <c r="AC86" s="161" t="s">
        <v>266</v>
      </c>
      <c r="AD86" s="162"/>
      <c r="AE86" s="162"/>
      <c r="AF86" s="162"/>
      <c r="AG86" s="162"/>
      <c r="AH86" s="162"/>
      <c r="AI86" s="162"/>
      <c r="AJ86" s="163"/>
    </row>
    <row r="87" spans="1:36" outlineLevel="2">
      <c r="A87" s="81"/>
      <c r="B87" s="79"/>
      <c r="C87" s="10" t="str">
        <f t="shared" si="8"/>
        <v>01000144</v>
      </c>
      <c r="D87" s="45"/>
      <c r="E87" s="161" t="s">
        <v>267</v>
      </c>
      <c r="F87" s="162"/>
      <c r="G87" s="162"/>
      <c r="H87" s="162"/>
      <c r="I87" s="162"/>
      <c r="J87" s="162"/>
      <c r="K87" s="162"/>
      <c r="L87" s="163"/>
      <c r="M87" s="161" t="s">
        <v>268</v>
      </c>
      <c r="N87" s="162"/>
      <c r="O87" s="162"/>
      <c r="P87" s="162"/>
      <c r="Q87" s="162"/>
      <c r="R87" s="162"/>
      <c r="S87" s="162"/>
      <c r="T87" s="163"/>
      <c r="U87" s="161" t="s">
        <v>269</v>
      </c>
      <c r="V87" s="162"/>
      <c r="W87" s="162"/>
      <c r="X87" s="162"/>
      <c r="Y87" s="162"/>
      <c r="Z87" s="162"/>
      <c r="AA87" s="162"/>
      <c r="AB87" s="163"/>
      <c r="AC87" s="161" t="s">
        <v>270</v>
      </c>
      <c r="AD87" s="162"/>
      <c r="AE87" s="162"/>
      <c r="AF87" s="162"/>
      <c r="AG87" s="162"/>
      <c r="AH87" s="162"/>
      <c r="AI87" s="162"/>
      <c r="AJ87" s="163"/>
    </row>
    <row r="88" spans="1:36" outlineLevel="2">
      <c r="A88" s="81"/>
      <c r="B88" s="79"/>
      <c r="C88" s="10" t="str">
        <f t="shared" si="8"/>
        <v>01000148</v>
      </c>
      <c r="D88" s="45"/>
      <c r="E88" s="161" t="s">
        <v>271</v>
      </c>
      <c r="F88" s="162"/>
      <c r="G88" s="162"/>
      <c r="H88" s="162"/>
      <c r="I88" s="162"/>
      <c r="J88" s="162"/>
      <c r="K88" s="162"/>
      <c r="L88" s="163"/>
      <c r="M88" s="161" t="s">
        <v>272</v>
      </c>
      <c r="N88" s="162"/>
      <c r="O88" s="162"/>
      <c r="P88" s="162"/>
      <c r="Q88" s="162"/>
      <c r="R88" s="162"/>
      <c r="S88" s="162"/>
      <c r="T88" s="163"/>
      <c r="U88" s="161" t="s">
        <v>273</v>
      </c>
      <c r="V88" s="162"/>
      <c r="W88" s="162"/>
      <c r="X88" s="162"/>
      <c r="Y88" s="162"/>
      <c r="Z88" s="162"/>
      <c r="AA88" s="162"/>
      <c r="AB88" s="163"/>
      <c r="AC88" s="161" t="s">
        <v>274</v>
      </c>
      <c r="AD88" s="162"/>
      <c r="AE88" s="162"/>
      <c r="AF88" s="162"/>
      <c r="AG88" s="162"/>
      <c r="AH88" s="162"/>
      <c r="AI88" s="162"/>
      <c r="AJ88" s="163"/>
    </row>
    <row r="89" spans="1:36" outlineLevel="2">
      <c r="A89" s="81"/>
      <c r="B89" s="79"/>
      <c r="C89" s="10" t="str">
        <f t="shared" si="8"/>
        <v>0100014C</v>
      </c>
      <c r="D89" s="45"/>
      <c r="E89" s="161" t="s">
        <v>275</v>
      </c>
      <c r="F89" s="162"/>
      <c r="G89" s="162"/>
      <c r="H89" s="162"/>
      <c r="I89" s="162"/>
      <c r="J89" s="162"/>
      <c r="K89" s="162"/>
      <c r="L89" s="163"/>
      <c r="M89" s="161" t="s">
        <v>276</v>
      </c>
      <c r="N89" s="162"/>
      <c r="O89" s="162"/>
      <c r="P89" s="162"/>
      <c r="Q89" s="162"/>
      <c r="R89" s="162"/>
      <c r="S89" s="162"/>
      <c r="T89" s="163"/>
      <c r="U89" s="161" t="s">
        <v>277</v>
      </c>
      <c r="V89" s="162"/>
      <c r="W89" s="162"/>
      <c r="X89" s="162"/>
      <c r="Y89" s="162"/>
      <c r="Z89" s="162"/>
      <c r="AA89" s="162"/>
      <c r="AB89" s="163"/>
      <c r="AC89" s="161" t="s">
        <v>278</v>
      </c>
      <c r="AD89" s="162"/>
      <c r="AE89" s="162"/>
      <c r="AF89" s="162"/>
      <c r="AG89" s="162"/>
      <c r="AH89" s="162"/>
      <c r="AI89" s="162"/>
      <c r="AJ89" s="163"/>
    </row>
    <row r="90" spans="1:36" outlineLevel="2">
      <c r="A90" s="81"/>
      <c r="B90" s="109" t="str">
        <f>DEC2HEX(HEX2DEC(B86) + 1)</f>
        <v>100015</v>
      </c>
      <c r="C90" s="10" t="str">
        <f t="shared" si="8"/>
        <v>01000150</v>
      </c>
      <c r="D90" s="45"/>
      <c r="E90" s="161" t="s">
        <v>279</v>
      </c>
      <c r="F90" s="162"/>
      <c r="G90" s="162"/>
      <c r="H90" s="162"/>
      <c r="I90" s="162"/>
      <c r="J90" s="162"/>
      <c r="K90" s="162"/>
      <c r="L90" s="163"/>
      <c r="M90" s="161" t="s">
        <v>280</v>
      </c>
      <c r="N90" s="162"/>
      <c r="O90" s="162"/>
      <c r="P90" s="162"/>
      <c r="Q90" s="162"/>
      <c r="R90" s="162"/>
      <c r="S90" s="162"/>
      <c r="T90" s="163"/>
      <c r="U90" s="161" t="s">
        <v>281</v>
      </c>
      <c r="V90" s="162"/>
      <c r="W90" s="162"/>
      <c r="X90" s="162"/>
      <c r="Y90" s="162"/>
      <c r="Z90" s="162"/>
      <c r="AA90" s="162"/>
      <c r="AB90" s="163"/>
      <c r="AC90" s="161" t="s">
        <v>282</v>
      </c>
      <c r="AD90" s="162"/>
      <c r="AE90" s="162"/>
      <c r="AF90" s="162"/>
      <c r="AG90" s="162"/>
      <c r="AH90" s="162"/>
      <c r="AI90" s="162"/>
      <c r="AJ90" s="163"/>
    </row>
    <row r="91" spans="1:36" outlineLevel="2">
      <c r="A91" s="81"/>
      <c r="B91" s="79"/>
      <c r="C91" s="10" t="str">
        <f t="shared" si="8"/>
        <v>01000154</v>
      </c>
      <c r="D91" s="45"/>
      <c r="E91" s="161" t="s">
        <v>283</v>
      </c>
      <c r="F91" s="162"/>
      <c r="G91" s="162"/>
      <c r="H91" s="162"/>
      <c r="I91" s="162"/>
      <c r="J91" s="162"/>
      <c r="K91" s="162"/>
      <c r="L91" s="163"/>
      <c r="M91" s="161" t="s">
        <v>284</v>
      </c>
      <c r="N91" s="162"/>
      <c r="O91" s="162"/>
      <c r="P91" s="162"/>
      <c r="Q91" s="162"/>
      <c r="R91" s="162"/>
      <c r="S91" s="162"/>
      <c r="T91" s="163"/>
      <c r="U91" s="161" t="s">
        <v>285</v>
      </c>
      <c r="V91" s="162"/>
      <c r="W91" s="162"/>
      <c r="X91" s="162"/>
      <c r="Y91" s="162"/>
      <c r="Z91" s="162"/>
      <c r="AA91" s="162"/>
      <c r="AB91" s="163"/>
      <c r="AC91" s="161" t="s">
        <v>286</v>
      </c>
      <c r="AD91" s="162"/>
      <c r="AE91" s="162"/>
      <c r="AF91" s="162"/>
      <c r="AG91" s="162"/>
      <c r="AH91" s="162"/>
      <c r="AI91" s="162"/>
      <c r="AJ91" s="163"/>
    </row>
    <row r="92" spans="1:36" outlineLevel="2">
      <c r="A92" s="81"/>
      <c r="B92" s="79"/>
      <c r="C92" s="10" t="str">
        <f t="shared" si="8"/>
        <v>01000158</v>
      </c>
      <c r="D92" s="45"/>
      <c r="E92" s="161" t="s">
        <v>287</v>
      </c>
      <c r="F92" s="162"/>
      <c r="G92" s="162"/>
      <c r="H92" s="162"/>
      <c r="I92" s="162"/>
      <c r="J92" s="162"/>
      <c r="K92" s="162"/>
      <c r="L92" s="163"/>
      <c r="M92" s="161" t="s">
        <v>288</v>
      </c>
      <c r="N92" s="162"/>
      <c r="O92" s="162"/>
      <c r="P92" s="162"/>
      <c r="Q92" s="162"/>
      <c r="R92" s="162"/>
      <c r="S92" s="162"/>
      <c r="T92" s="163"/>
      <c r="U92" s="161" t="s">
        <v>289</v>
      </c>
      <c r="V92" s="162"/>
      <c r="W92" s="162"/>
      <c r="X92" s="162"/>
      <c r="Y92" s="162"/>
      <c r="Z92" s="162"/>
      <c r="AA92" s="162"/>
      <c r="AB92" s="163"/>
      <c r="AC92" s="161" t="s">
        <v>290</v>
      </c>
      <c r="AD92" s="162"/>
      <c r="AE92" s="162"/>
      <c r="AF92" s="162"/>
      <c r="AG92" s="162"/>
      <c r="AH92" s="162"/>
      <c r="AI92" s="162"/>
      <c r="AJ92" s="163"/>
    </row>
    <row r="93" spans="1:36" outlineLevel="2">
      <c r="A93" s="81"/>
      <c r="B93" s="79"/>
      <c r="C93" s="10" t="str">
        <f t="shared" si="8"/>
        <v>0100015C</v>
      </c>
      <c r="D93" s="45"/>
      <c r="E93" s="161" t="s">
        <v>291</v>
      </c>
      <c r="F93" s="162"/>
      <c r="G93" s="162"/>
      <c r="H93" s="162"/>
      <c r="I93" s="162"/>
      <c r="J93" s="162"/>
      <c r="K93" s="162"/>
      <c r="L93" s="163"/>
      <c r="M93" s="161" t="s">
        <v>292</v>
      </c>
      <c r="N93" s="162"/>
      <c r="O93" s="162"/>
      <c r="P93" s="162"/>
      <c r="Q93" s="162"/>
      <c r="R93" s="162"/>
      <c r="S93" s="162"/>
      <c r="T93" s="163"/>
      <c r="U93" s="161" t="s">
        <v>293</v>
      </c>
      <c r="V93" s="162"/>
      <c r="W93" s="162"/>
      <c r="X93" s="162"/>
      <c r="Y93" s="162"/>
      <c r="Z93" s="162"/>
      <c r="AA93" s="162"/>
      <c r="AB93" s="163"/>
      <c r="AC93" s="161" t="s">
        <v>294</v>
      </c>
      <c r="AD93" s="162"/>
      <c r="AE93" s="162"/>
      <c r="AF93" s="162"/>
      <c r="AG93" s="162"/>
      <c r="AH93" s="162"/>
      <c r="AI93" s="162"/>
      <c r="AJ93" s="163"/>
    </row>
    <row r="94" spans="1:36" outlineLevel="2">
      <c r="A94" s="81"/>
      <c r="B94" s="109" t="str">
        <f>DEC2HEX(HEX2DEC(B90) + 1)</f>
        <v>100016</v>
      </c>
      <c r="C94" s="10" t="str">
        <f t="shared" si="8"/>
        <v>01000160</v>
      </c>
      <c r="D94" s="45"/>
      <c r="E94" s="161" t="s">
        <v>295</v>
      </c>
      <c r="F94" s="162"/>
      <c r="G94" s="162"/>
      <c r="H94" s="162"/>
      <c r="I94" s="162"/>
      <c r="J94" s="162"/>
      <c r="K94" s="162"/>
      <c r="L94" s="163"/>
      <c r="M94" s="161" t="s">
        <v>296</v>
      </c>
      <c r="N94" s="162"/>
      <c r="O94" s="162"/>
      <c r="P94" s="162"/>
      <c r="Q94" s="162"/>
      <c r="R94" s="162"/>
      <c r="S94" s="162"/>
      <c r="T94" s="163"/>
      <c r="U94" s="161" t="s">
        <v>297</v>
      </c>
      <c r="V94" s="162"/>
      <c r="W94" s="162"/>
      <c r="X94" s="162"/>
      <c r="Y94" s="162"/>
      <c r="Z94" s="162"/>
      <c r="AA94" s="162"/>
      <c r="AB94" s="163"/>
      <c r="AC94" s="161" t="s">
        <v>298</v>
      </c>
      <c r="AD94" s="162"/>
      <c r="AE94" s="162"/>
      <c r="AF94" s="162"/>
      <c r="AG94" s="162"/>
      <c r="AH94" s="162"/>
      <c r="AI94" s="162"/>
      <c r="AJ94" s="163"/>
    </row>
    <row r="95" spans="1:36" outlineLevel="2">
      <c r="A95" s="81"/>
      <c r="B95" s="79"/>
      <c r="C95" s="10" t="str">
        <f t="shared" si="8"/>
        <v>01000164</v>
      </c>
      <c r="D95" s="45"/>
      <c r="E95" s="161" t="s">
        <v>299</v>
      </c>
      <c r="F95" s="162"/>
      <c r="G95" s="162"/>
      <c r="H95" s="162"/>
      <c r="I95" s="162"/>
      <c r="J95" s="162"/>
      <c r="K95" s="162"/>
      <c r="L95" s="163"/>
      <c r="M95" s="161" t="s">
        <v>300</v>
      </c>
      <c r="N95" s="162"/>
      <c r="O95" s="162"/>
      <c r="P95" s="162"/>
      <c r="Q95" s="162"/>
      <c r="R95" s="162"/>
      <c r="S95" s="162"/>
      <c r="T95" s="163"/>
      <c r="U95" s="161" t="s">
        <v>301</v>
      </c>
      <c r="V95" s="162"/>
      <c r="W95" s="162"/>
      <c r="X95" s="162"/>
      <c r="Y95" s="162"/>
      <c r="Z95" s="162"/>
      <c r="AA95" s="162"/>
      <c r="AB95" s="163"/>
      <c r="AC95" s="161" t="s">
        <v>302</v>
      </c>
      <c r="AD95" s="162"/>
      <c r="AE95" s="162"/>
      <c r="AF95" s="162"/>
      <c r="AG95" s="162"/>
      <c r="AH95" s="162"/>
      <c r="AI95" s="162"/>
      <c r="AJ95" s="163"/>
    </row>
    <row r="96" spans="1:36" outlineLevel="2">
      <c r="A96" s="81"/>
      <c r="B96" s="79"/>
      <c r="C96" s="10" t="str">
        <f t="shared" si="8"/>
        <v>01000168</v>
      </c>
      <c r="D96" s="45"/>
      <c r="E96" s="161" t="s">
        <v>303</v>
      </c>
      <c r="F96" s="162"/>
      <c r="G96" s="162"/>
      <c r="H96" s="162"/>
      <c r="I96" s="162"/>
      <c r="J96" s="162"/>
      <c r="K96" s="162"/>
      <c r="L96" s="163"/>
      <c r="M96" s="161" t="s">
        <v>304</v>
      </c>
      <c r="N96" s="162"/>
      <c r="O96" s="162"/>
      <c r="P96" s="162"/>
      <c r="Q96" s="162"/>
      <c r="R96" s="162"/>
      <c r="S96" s="162"/>
      <c r="T96" s="163"/>
      <c r="U96" s="161" t="s">
        <v>305</v>
      </c>
      <c r="V96" s="162"/>
      <c r="W96" s="162"/>
      <c r="X96" s="162"/>
      <c r="Y96" s="162"/>
      <c r="Z96" s="162"/>
      <c r="AA96" s="162"/>
      <c r="AB96" s="163"/>
      <c r="AC96" s="161" t="s">
        <v>306</v>
      </c>
      <c r="AD96" s="162"/>
      <c r="AE96" s="162"/>
      <c r="AF96" s="162"/>
      <c r="AG96" s="162"/>
      <c r="AH96" s="162"/>
      <c r="AI96" s="162"/>
      <c r="AJ96" s="163"/>
    </row>
    <row r="97" spans="1:36" outlineLevel="2">
      <c r="A97" s="81"/>
      <c r="B97" s="79"/>
      <c r="C97" s="10" t="str">
        <f t="shared" si="8"/>
        <v>0100016C</v>
      </c>
      <c r="D97" s="45"/>
      <c r="E97" s="161" t="s">
        <v>307</v>
      </c>
      <c r="F97" s="162"/>
      <c r="G97" s="162"/>
      <c r="H97" s="162"/>
      <c r="I97" s="162"/>
      <c r="J97" s="162"/>
      <c r="K97" s="162"/>
      <c r="L97" s="163"/>
      <c r="M97" s="161" t="s">
        <v>308</v>
      </c>
      <c r="N97" s="162"/>
      <c r="O97" s="162"/>
      <c r="P97" s="162"/>
      <c r="Q97" s="162"/>
      <c r="R97" s="162"/>
      <c r="S97" s="162"/>
      <c r="T97" s="163"/>
      <c r="U97" s="161" t="s">
        <v>309</v>
      </c>
      <c r="V97" s="162"/>
      <c r="W97" s="162"/>
      <c r="X97" s="162"/>
      <c r="Y97" s="162"/>
      <c r="Z97" s="162"/>
      <c r="AA97" s="162"/>
      <c r="AB97" s="163"/>
      <c r="AC97" s="161" t="s">
        <v>310</v>
      </c>
      <c r="AD97" s="162"/>
      <c r="AE97" s="162"/>
      <c r="AF97" s="162"/>
      <c r="AG97" s="162"/>
      <c r="AH97" s="162"/>
      <c r="AI97" s="162"/>
      <c r="AJ97" s="163"/>
    </row>
    <row r="98" spans="1:36" outlineLevel="2">
      <c r="A98" s="81"/>
      <c r="B98" s="109" t="str">
        <f>DEC2HEX(HEX2DEC(B94) + 1)</f>
        <v>100017</v>
      </c>
      <c r="C98" s="10" t="str">
        <f t="shared" si="8"/>
        <v>01000170</v>
      </c>
      <c r="D98" s="45"/>
      <c r="E98" s="161" t="s">
        <v>311</v>
      </c>
      <c r="F98" s="162"/>
      <c r="G98" s="162"/>
      <c r="H98" s="162"/>
      <c r="I98" s="162"/>
      <c r="J98" s="162"/>
      <c r="K98" s="162"/>
      <c r="L98" s="163"/>
      <c r="M98" s="161" t="s">
        <v>312</v>
      </c>
      <c r="N98" s="162"/>
      <c r="O98" s="162"/>
      <c r="P98" s="162"/>
      <c r="Q98" s="162"/>
      <c r="R98" s="162"/>
      <c r="S98" s="162"/>
      <c r="T98" s="163"/>
      <c r="U98" s="161" t="s">
        <v>313</v>
      </c>
      <c r="V98" s="162"/>
      <c r="W98" s="162"/>
      <c r="X98" s="162"/>
      <c r="Y98" s="162"/>
      <c r="Z98" s="162"/>
      <c r="AA98" s="162"/>
      <c r="AB98" s="163"/>
      <c r="AC98" s="161" t="s">
        <v>314</v>
      </c>
      <c r="AD98" s="162"/>
      <c r="AE98" s="162"/>
      <c r="AF98" s="162"/>
      <c r="AG98" s="162"/>
      <c r="AH98" s="162"/>
      <c r="AI98" s="162"/>
      <c r="AJ98" s="163"/>
    </row>
    <row r="99" spans="1:36" outlineLevel="2">
      <c r="A99" s="81"/>
      <c r="B99" s="79"/>
      <c r="C99" s="10" t="str">
        <f t="shared" si="8"/>
        <v>01000174</v>
      </c>
      <c r="D99" s="45"/>
      <c r="E99" s="161" t="s">
        <v>315</v>
      </c>
      <c r="F99" s="162"/>
      <c r="G99" s="162"/>
      <c r="H99" s="162"/>
      <c r="I99" s="162"/>
      <c r="J99" s="162"/>
      <c r="K99" s="162"/>
      <c r="L99" s="163"/>
      <c r="M99" s="161" t="s">
        <v>316</v>
      </c>
      <c r="N99" s="162"/>
      <c r="O99" s="162"/>
      <c r="P99" s="162"/>
      <c r="Q99" s="162"/>
      <c r="R99" s="162"/>
      <c r="S99" s="162"/>
      <c r="T99" s="163"/>
      <c r="U99" s="161" t="s">
        <v>317</v>
      </c>
      <c r="V99" s="162"/>
      <c r="W99" s="162"/>
      <c r="X99" s="162"/>
      <c r="Y99" s="162"/>
      <c r="Z99" s="162"/>
      <c r="AA99" s="162"/>
      <c r="AB99" s="163"/>
      <c r="AC99" s="161" t="s">
        <v>318</v>
      </c>
      <c r="AD99" s="162"/>
      <c r="AE99" s="162"/>
      <c r="AF99" s="162"/>
      <c r="AG99" s="162"/>
      <c r="AH99" s="162"/>
      <c r="AI99" s="162"/>
      <c r="AJ99" s="163"/>
    </row>
    <row r="100" spans="1:36" outlineLevel="2">
      <c r="A100" s="81"/>
      <c r="B100" s="79"/>
      <c r="C100" s="10" t="str">
        <f t="shared" si="8"/>
        <v>01000178</v>
      </c>
      <c r="D100" s="45"/>
      <c r="E100" s="161" t="s">
        <v>319</v>
      </c>
      <c r="F100" s="162"/>
      <c r="G100" s="162"/>
      <c r="H100" s="162"/>
      <c r="I100" s="162"/>
      <c r="J100" s="162"/>
      <c r="K100" s="162"/>
      <c r="L100" s="163"/>
      <c r="M100" s="161" t="s">
        <v>320</v>
      </c>
      <c r="N100" s="162"/>
      <c r="O100" s="162"/>
      <c r="P100" s="162"/>
      <c r="Q100" s="162"/>
      <c r="R100" s="162"/>
      <c r="S100" s="162"/>
      <c r="T100" s="163"/>
      <c r="U100" s="161" t="s">
        <v>321</v>
      </c>
      <c r="V100" s="162"/>
      <c r="W100" s="162"/>
      <c r="X100" s="162"/>
      <c r="Y100" s="162"/>
      <c r="Z100" s="162"/>
      <c r="AA100" s="162"/>
      <c r="AB100" s="163"/>
      <c r="AC100" s="161" t="s">
        <v>322</v>
      </c>
      <c r="AD100" s="162"/>
      <c r="AE100" s="162"/>
      <c r="AF100" s="162"/>
      <c r="AG100" s="162"/>
      <c r="AH100" s="162"/>
      <c r="AI100" s="162"/>
      <c r="AJ100" s="163"/>
    </row>
    <row r="101" spans="1:36" outlineLevel="2">
      <c r="A101" s="81"/>
      <c r="B101" s="79"/>
      <c r="C101" s="10" t="str">
        <f t="shared" si="8"/>
        <v>0100017C</v>
      </c>
      <c r="D101" s="45"/>
      <c r="E101" s="149" t="s">
        <v>323</v>
      </c>
      <c r="F101" s="164"/>
      <c r="G101" s="164"/>
      <c r="H101" s="164"/>
      <c r="I101" s="164"/>
      <c r="J101" s="164"/>
      <c r="K101" s="164"/>
      <c r="L101" s="165"/>
      <c r="M101" s="149" t="s">
        <v>324</v>
      </c>
      <c r="N101" s="164"/>
      <c r="O101" s="164"/>
      <c r="P101" s="164"/>
      <c r="Q101" s="164"/>
      <c r="R101" s="164"/>
      <c r="S101" s="164"/>
      <c r="T101" s="165"/>
      <c r="U101" s="149" t="s">
        <v>325</v>
      </c>
      <c r="V101" s="164"/>
      <c r="W101" s="164"/>
      <c r="X101" s="164"/>
      <c r="Y101" s="164"/>
      <c r="Z101" s="164"/>
      <c r="AA101" s="164"/>
      <c r="AB101" s="165"/>
      <c r="AC101" s="161" t="s">
        <v>326</v>
      </c>
      <c r="AD101" s="162"/>
      <c r="AE101" s="162"/>
      <c r="AF101" s="162"/>
      <c r="AG101" s="162"/>
      <c r="AH101" s="162"/>
      <c r="AI101" s="162"/>
      <c r="AJ101" s="163"/>
    </row>
    <row r="102" spans="1:36" outlineLevel="2">
      <c r="A102" s="81"/>
      <c r="B102" s="109" t="str">
        <f>DEC2HEX(HEX2DEC(B98) + 1)</f>
        <v>100018</v>
      </c>
      <c r="C102" s="10" t="str">
        <f t="shared" si="8"/>
        <v>01000180</v>
      </c>
      <c r="D102" s="45"/>
      <c r="E102" s="76">
        <v>0</v>
      </c>
      <c r="F102" s="76">
        <v>0</v>
      </c>
      <c r="G102" s="76">
        <v>0</v>
      </c>
      <c r="H102" s="76">
        <v>0</v>
      </c>
      <c r="I102" s="76">
        <v>0</v>
      </c>
      <c r="J102" s="76">
        <v>0</v>
      </c>
      <c r="K102" s="76">
        <v>0</v>
      </c>
      <c r="L102" s="76">
        <v>0</v>
      </c>
      <c r="M102" s="76">
        <v>0</v>
      </c>
      <c r="N102" s="76">
        <v>0</v>
      </c>
      <c r="O102" s="76">
        <v>0</v>
      </c>
      <c r="P102" s="76">
        <v>0</v>
      </c>
      <c r="Q102" s="76">
        <v>0</v>
      </c>
      <c r="R102" s="76">
        <v>0</v>
      </c>
      <c r="S102" s="76">
        <v>0</v>
      </c>
      <c r="T102" s="76">
        <v>0</v>
      </c>
      <c r="U102" s="76">
        <v>0</v>
      </c>
      <c r="V102" s="76">
        <v>0</v>
      </c>
      <c r="W102" s="76">
        <v>0</v>
      </c>
      <c r="X102" s="76">
        <v>0</v>
      </c>
      <c r="Y102" s="76">
        <v>0</v>
      </c>
      <c r="Z102" s="76">
        <v>0</v>
      </c>
      <c r="AA102" s="76">
        <v>0</v>
      </c>
      <c r="AB102" s="76">
        <v>0</v>
      </c>
      <c r="AC102" s="76">
        <v>0</v>
      </c>
      <c r="AD102" s="76">
        <v>0</v>
      </c>
      <c r="AE102" s="76">
        <v>0</v>
      </c>
      <c r="AF102" s="76">
        <v>0</v>
      </c>
      <c r="AG102" s="76">
        <v>0</v>
      </c>
      <c r="AH102" s="76">
        <v>0</v>
      </c>
      <c r="AI102" s="76">
        <v>0</v>
      </c>
      <c r="AJ102" s="76">
        <v>0</v>
      </c>
    </row>
    <row r="103" spans="1:36" outlineLevel="2">
      <c r="A103" s="81"/>
      <c r="B103" s="79"/>
      <c r="C103" s="10" t="str">
        <f t="shared" ref="C103:C133" si="9">DEC2HEX(HEX2DEC(C102) + 4, 8)</f>
        <v>01000184</v>
      </c>
      <c r="D103" s="45"/>
      <c r="E103" s="76">
        <v>0</v>
      </c>
      <c r="F103" s="76">
        <v>0</v>
      </c>
      <c r="G103" s="76">
        <v>0</v>
      </c>
      <c r="H103" s="76">
        <v>0</v>
      </c>
      <c r="I103" s="76">
        <v>0</v>
      </c>
      <c r="J103" s="76">
        <v>0</v>
      </c>
      <c r="K103" s="76">
        <v>0</v>
      </c>
      <c r="L103" s="76">
        <v>0</v>
      </c>
      <c r="M103" s="76">
        <v>0</v>
      </c>
      <c r="N103" s="76">
        <v>0</v>
      </c>
      <c r="O103" s="76">
        <v>0</v>
      </c>
      <c r="P103" s="76">
        <v>0</v>
      </c>
      <c r="Q103" s="76">
        <v>0</v>
      </c>
      <c r="R103" s="76">
        <v>0</v>
      </c>
      <c r="S103" s="76">
        <v>0</v>
      </c>
      <c r="T103" s="76">
        <v>0</v>
      </c>
      <c r="U103" s="76">
        <v>0</v>
      </c>
      <c r="V103" s="76">
        <v>0</v>
      </c>
      <c r="W103" s="76">
        <v>0</v>
      </c>
      <c r="X103" s="76">
        <v>0</v>
      </c>
      <c r="Y103" s="76">
        <v>0</v>
      </c>
      <c r="Z103" s="76">
        <v>0</v>
      </c>
      <c r="AA103" s="76">
        <v>0</v>
      </c>
      <c r="AB103" s="76">
        <v>0</v>
      </c>
      <c r="AC103" s="76">
        <v>0</v>
      </c>
      <c r="AD103" s="76">
        <v>0</v>
      </c>
      <c r="AE103" s="76">
        <v>0</v>
      </c>
      <c r="AF103" s="76">
        <v>0</v>
      </c>
      <c r="AG103" s="76">
        <v>0</v>
      </c>
      <c r="AH103" s="76">
        <v>0</v>
      </c>
      <c r="AI103" s="76">
        <v>0</v>
      </c>
      <c r="AJ103" s="76">
        <v>0</v>
      </c>
    </row>
    <row r="104" spans="1:36" outlineLevel="2">
      <c r="A104" s="81"/>
      <c r="B104" s="79"/>
      <c r="C104" s="10" t="str">
        <f t="shared" si="9"/>
        <v>01000188</v>
      </c>
      <c r="D104" s="45"/>
      <c r="E104" s="77">
        <v>0</v>
      </c>
      <c r="F104" s="77">
        <v>0</v>
      </c>
      <c r="G104" s="77">
        <v>0</v>
      </c>
      <c r="H104" s="77">
        <v>0</v>
      </c>
      <c r="I104" s="77">
        <v>0</v>
      </c>
      <c r="J104" s="77">
        <v>0</v>
      </c>
      <c r="K104" s="77">
        <v>0</v>
      </c>
      <c r="L104" s="77">
        <v>0</v>
      </c>
      <c r="M104" s="77">
        <v>0</v>
      </c>
      <c r="N104" s="77">
        <v>0</v>
      </c>
      <c r="O104" s="77">
        <v>0</v>
      </c>
      <c r="P104" s="77">
        <v>0</v>
      </c>
      <c r="Q104" s="77">
        <v>0</v>
      </c>
      <c r="R104" s="77">
        <v>0</v>
      </c>
      <c r="S104" s="77">
        <v>0</v>
      </c>
      <c r="T104" s="77">
        <v>0</v>
      </c>
      <c r="U104" s="77">
        <v>0</v>
      </c>
      <c r="V104" s="77">
        <v>0</v>
      </c>
      <c r="W104" s="77">
        <v>0</v>
      </c>
      <c r="X104" s="77">
        <v>0</v>
      </c>
      <c r="Y104" s="77">
        <v>0</v>
      </c>
      <c r="Z104" s="77">
        <v>0</v>
      </c>
      <c r="AA104" s="77">
        <v>0</v>
      </c>
      <c r="AB104" s="77">
        <v>0</v>
      </c>
      <c r="AC104" s="77">
        <v>0</v>
      </c>
      <c r="AD104" s="77">
        <v>0</v>
      </c>
      <c r="AE104" s="77">
        <v>0</v>
      </c>
      <c r="AF104" s="77">
        <v>0</v>
      </c>
      <c r="AG104" s="77">
        <v>0</v>
      </c>
      <c r="AH104" s="77">
        <v>0</v>
      </c>
      <c r="AI104" s="77">
        <v>0</v>
      </c>
      <c r="AJ104" s="77">
        <v>0</v>
      </c>
    </row>
    <row r="105" spans="1:36" outlineLevel="2">
      <c r="A105" s="81"/>
      <c r="B105" s="79"/>
      <c r="C105" s="10" t="str">
        <f t="shared" si="9"/>
        <v>0100018C</v>
      </c>
      <c r="D105" s="46"/>
      <c r="E105" s="77">
        <v>0</v>
      </c>
      <c r="F105" s="77">
        <v>0</v>
      </c>
      <c r="G105" s="77">
        <v>0</v>
      </c>
      <c r="H105" s="77">
        <v>0</v>
      </c>
      <c r="I105" s="77">
        <v>0</v>
      </c>
      <c r="J105" s="77">
        <v>0</v>
      </c>
      <c r="K105" s="77">
        <v>0</v>
      </c>
      <c r="L105" s="77">
        <v>0</v>
      </c>
      <c r="M105" s="77">
        <v>0</v>
      </c>
      <c r="N105" s="77">
        <v>0</v>
      </c>
      <c r="O105" s="77">
        <v>0</v>
      </c>
      <c r="P105" s="77">
        <v>0</v>
      </c>
      <c r="Q105" s="77">
        <v>0</v>
      </c>
      <c r="R105" s="77">
        <v>0</v>
      </c>
      <c r="S105" s="77">
        <v>0</v>
      </c>
      <c r="T105" s="77">
        <v>0</v>
      </c>
      <c r="U105" s="77">
        <v>0</v>
      </c>
      <c r="V105" s="77">
        <v>0</v>
      </c>
      <c r="W105" s="77">
        <v>0</v>
      </c>
      <c r="X105" s="77">
        <v>0</v>
      </c>
      <c r="Y105" s="77">
        <v>0</v>
      </c>
      <c r="Z105" s="77">
        <v>0</v>
      </c>
      <c r="AA105" s="77">
        <v>0</v>
      </c>
      <c r="AB105" s="77">
        <v>0</v>
      </c>
      <c r="AC105" s="77">
        <v>0</v>
      </c>
      <c r="AD105" s="77">
        <v>0</v>
      </c>
      <c r="AE105" s="77">
        <v>0</v>
      </c>
      <c r="AF105" s="77">
        <v>0</v>
      </c>
      <c r="AG105" s="77">
        <v>0</v>
      </c>
      <c r="AH105" s="77">
        <v>0</v>
      </c>
      <c r="AI105" s="77">
        <v>0</v>
      </c>
      <c r="AJ105" s="77">
        <v>0</v>
      </c>
    </row>
    <row r="106" spans="1:36" outlineLevel="2">
      <c r="A106" s="81"/>
      <c r="B106" s="109" t="str">
        <f>DEC2HEX(HEX2DEC(B102) + 1)</f>
        <v>100019</v>
      </c>
      <c r="C106" s="10" t="str">
        <f t="shared" si="9"/>
        <v>01000190</v>
      </c>
      <c r="D106" s="10" t="s">
        <v>327</v>
      </c>
      <c r="E106" s="103" t="s">
        <v>328</v>
      </c>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04"/>
      <c r="AJ106" s="105"/>
    </row>
    <row r="107" spans="1:36" outlineLevel="2">
      <c r="A107" s="81"/>
      <c r="B107" s="79"/>
      <c r="C107" s="10" t="str">
        <f t="shared" si="9"/>
        <v>01000194</v>
      </c>
      <c r="D107" s="12" t="s">
        <v>329</v>
      </c>
      <c r="E107" s="103" t="s">
        <v>330</v>
      </c>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04"/>
      <c r="AJ107" s="105"/>
    </row>
    <row r="108" spans="1:36" outlineLevel="2">
      <c r="A108" s="81"/>
      <c r="B108" s="79"/>
      <c r="C108" s="10" t="str">
        <f t="shared" si="9"/>
        <v>01000198</v>
      </c>
      <c r="D108" s="12" t="s">
        <v>331</v>
      </c>
      <c r="E108" s="103" t="s">
        <v>332</v>
      </c>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c r="AJ108" s="105"/>
    </row>
    <row r="109" spans="1:36" outlineLevel="2">
      <c r="A109" s="81"/>
      <c r="B109" s="79"/>
      <c r="C109" s="10" t="str">
        <f t="shared" si="9"/>
        <v>0100019C</v>
      </c>
      <c r="D109" s="14" t="s">
        <v>333</v>
      </c>
      <c r="E109" s="103" t="s">
        <v>334</v>
      </c>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c r="AJ109" s="105"/>
    </row>
    <row r="110" spans="1:36" outlineLevel="2">
      <c r="A110" s="81"/>
      <c r="B110" s="109" t="str">
        <f>DEC2HEX(HEX2DEC(B106) + 1)</f>
        <v>10001A</v>
      </c>
      <c r="C110" s="10" t="str">
        <f t="shared" si="9"/>
        <v>010001A0</v>
      </c>
      <c r="D110" s="10" t="s">
        <v>335</v>
      </c>
      <c r="E110" s="103" t="s">
        <v>336</v>
      </c>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c r="AJ110" s="105"/>
    </row>
    <row r="111" spans="1:36" outlineLevel="2">
      <c r="A111" s="81"/>
      <c r="B111" s="79"/>
      <c r="C111" s="10" t="str">
        <f t="shared" si="9"/>
        <v>010001A4</v>
      </c>
      <c r="D111" s="12" t="s">
        <v>337</v>
      </c>
      <c r="E111" s="103" t="s">
        <v>338</v>
      </c>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04"/>
      <c r="AJ111" s="105"/>
    </row>
    <row r="112" spans="1:36" outlineLevel="2">
      <c r="A112" s="81"/>
      <c r="B112" s="79"/>
      <c r="C112" s="10" t="str">
        <f t="shared" si="9"/>
        <v>010001A8</v>
      </c>
      <c r="D112" s="12" t="s">
        <v>339</v>
      </c>
      <c r="E112" s="103" t="s">
        <v>340</v>
      </c>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04"/>
      <c r="AJ112" s="105"/>
    </row>
    <row r="113" spans="1:36" outlineLevel="2">
      <c r="A113" s="81"/>
      <c r="B113" s="79"/>
      <c r="C113" s="10" t="str">
        <f t="shared" si="9"/>
        <v>010001AC</v>
      </c>
      <c r="D113" s="14" t="s">
        <v>341</v>
      </c>
      <c r="E113" s="103" t="s">
        <v>342</v>
      </c>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5"/>
    </row>
    <row r="114" spans="1:36" outlineLevel="2">
      <c r="A114" s="81"/>
      <c r="B114" s="109" t="str">
        <f>DEC2HEX(HEX2DEC(B110) + 1)</f>
        <v>10001B</v>
      </c>
      <c r="C114" s="10" t="str">
        <f t="shared" si="9"/>
        <v>010001B0</v>
      </c>
      <c r="D114" s="60" t="s">
        <v>24</v>
      </c>
      <c r="E114" s="96" t="s">
        <v>25</v>
      </c>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8"/>
    </row>
    <row r="115" spans="1:36" outlineLevel="2">
      <c r="A115" s="81"/>
      <c r="B115" s="79"/>
      <c r="C115" s="10" t="str">
        <f t="shared" si="9"/>
        <v>010001B4</v>
      </c>
      <c r="D115" s="60" t="s">
        <v>24</v>
      </c>
      <c r="E115" s="96" t="s">
        <v>25</v>
      </c>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7"/>
      <c r="AJ115" s="98"/>
    </row>
    <row r="116" spans="1:36" outlineLevel="2">
      <c r="A116" s="81"/>
      <c r="B116" s="79"/>
      <c r="C116" s="10" t="str">
        <f t="shared" si="9"/>
        <v>010001B8</v>
      </c>
      <c r="D116" s="60" t="s">
        <v>24</v>
      </c>
      <c r="E116" s="96" t="s">
        <v>25</v>
      </c>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7"/>
      <c r="AI116" s="97"/>
      <c r="AJ116" s="98"/>
    </row>
    <row r="117" spans="1:36" outlineLevel="2">
      <c r="A117" s="81"/>
      <c r="B117" s="79"/>
      <c r="C117" s="10" t="str">
        <f t="shared" si="9"/>
        <v>010001BC</v>
      </c>
      <c r="D117" s="60" t="s">
        <v>24</v>
      </c>
      <c r="E117" s="96" t="s">
        <v>25</v>
      </c>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8"/>
    </row>
    <row r="118" spans="1:36" outlineLevel="2">
      <c r="A118" s="81"/>
      <c r="B118" s="109" t="str">
        <f>DEC2HEX(HEX2DEC(B114) + 1)</f>
        <v>10001C</v>
      </c>
      <c r="C118" s="10" t="str">
        <f t="shared" si="9"/>
        <v>010001C0</v>
      </c>
      <c r="D118" s="60" t="s">
        <v>24</v>
      </c>
      <c r="E118" s="96" t="s">
        <v>25</v>
      </c>
      <c r="F118" s="97"/>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7"/>
      <c r="AJ118" s="98"/>
    </row>
    <row r="119" spans="1:36" outlineLevel="2">
      <c r="A119" s="81"/>
      <c r="B119" s="79"/>
      <c r="C119" s="10" t="str">
        <f t="shared" si="9"/>
        <v>010001C4</v>
      </c>
      <c r="D119" s="60" t="s">
        <v>24</v>
      </c>
      <c r="E119" s="96" t="s">
        <v>25</v>
      </c>
      <c r="F119" s="97"/>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7"/>
      <c r="AJ119" s="98"/>
    </row>
    <row r="120" spans="1:36" outlineLevel="2">
      <c r="A120" s="81"/>
      <c r="B120" s="79"/>
      <c r="C120" s="10" t="str">
        <f t="shared" si="9"/>
        <v>010001C8</v>
      </c>
      <c r="D120" s="60" t="s">
        <v>24</v>
      </c>
      <c r="E120" s="96" t="s">
        <v>25</v>
      </c>
      <c r="F120" s="97"/>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8"/>
    </row>
    <row r="121" spans="1:36" outlineLevel="2">
      <c r="A121" s="81"/>
      <c r="B121" s="79"/>
      <c r="C121" s="10" t="str">
        <f t="shared" si="9"/>
        <v>010001CC</v>
      </c>
      <c r="D121" s="60" t="s">
        <v>24</v>
      </c>
      <c r="E121" s="96" t="s">
        <v>25</v>
      </c>
      <c r="F121" s="97"/>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97"/>
      <c r="AJ121" s="98"/>
    </row>
    <row r="122" spans="1:36" outlineLevel="2">
      <c r="A122" s="81"/>
      <c r="B122" s="109" t="str">
        <f>DEC2HEX(HEX2DEC(B118) + 1)</f>
        <v>10001D</v>
      </c>
      <c r="C122" s="10" t="str">
        <f t="shared" si="9"/>
        <v>010001D0</v>
      </c>
      <c r="D122" s="60" t="s">
        <v>24</v>
      </c>
      <c r="E122" s="96" t="s">
        <v>25</v>
      </c>
      <c r="F122" s="97"/>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7"/>
      <c r="AI122" s="97"/>
      <c r="AJ122" s="98"/>
    </row>
    <row r="123" spans="1:36" outlineLevel="2">
      <c r="A123" s="81"/>
      <c r="B123" s="79"/>
      <c r="C123" s="10" t="str">
        <f t="shared" si="9"/>
        <v>010001D4</v>
      </c>
      <c r="D123" s="60" t="s">
        <v>24</v>
      </c>
      <c r="E123" s="96" t="s">
        <v>25</v>
      </c>
      <c r="F123" s="97"/>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7"/>
      <c r="AJ123" s="98"/>
    </row>
    <row r="124" spans="1:36" outlineLevel="2">
      <c r="A124" s="81"/>
      <c r="B124" s="79"/>
      <c r="C124" s="10" t="str">
        <f t="shared" si="9"/>
        <v>010001D8</v>
      </c>
      <c r="D124" s="60" t="s">
        <v>24</v>
      </c>
      <c r="E124" s="96" t="s">
        <v>25</v>
      </c>
      <c r="F124" s="97"/>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8"/>
    </row>
    <row r="125" spans="1:36" outlineLevel="2">
      <c r="A125" s="81"/>
      <c r="B125" s="79"/>
      <c r="C125" s="10" t="str">
        <f t="shared" si="9"/>
        <v>010001DC</v>
      </c>
      <c r="D125" s="60" t="s">
        <v>24</v>
      </c>
      <c r="E125" s="96" t="s">
        <v>25</v>
      </c>
      <c r="F125" s="97"/>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7"/>
      <c r="AI125" s="97"/>
      <c r="AJ125" s="98"/>
    </row>
    <row r="126" spans="1:36" outlineLevel="2">
      <c r="A126" s="81"/>
      <c r="B126" s="109" t="str">
        <f>DEC2HEX(HEX2DEC(B122) + 1)</f>
        <v>10001E</v>
      </c>
      <c r="C126" s="10" t="str">
        <f t="shared" si="9"/>
        <v>010001E0</v>
      </c>
      <c r="D126" s="60" t="s">
        <v>24</v>
      </c>
      <c r="E126" s="96" t="s">
        <v>25</v>
      </c>
      <c r="F126" s="97"/>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c r="AF126" s="97"/>
      <c r="AG126" s="97"/>
      <c r="AH126" s="97"/>
      <c r="AI126" s="97"/>
      <c r="AJ126" s="98"/>
    </row>
    <row r="127" spans="1:36" outlineLevel="2">
      <c r="A127" s="81"/>
      <c r="B127" s="79"/>
      <c r="C127" s="10" t="str">
        <f t="shared" si="9"/>
        <v>010001E4</v>
      </c>
      <c r="D127" s="60" t="s">
        <v>24</v>
      </c>
      <c r="E127" s="96" t="s">
        <v>25</v>
      </c>
      <c r="F127" s="97"/>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c r="AF127" s="97"/>
      <c r="AG127" s="97"/>
      <c r="AH127" s="97"/>
      <c r="AI127" s="97"/>
      <c r="AJ127" s="98"/>
    </row>
    <row r="128" spans="1:36" outlineLevel="2">
      <c r="A128" s="81"/>
      <c r="B128" s="79"/>
      <c r="C128" s="10" t="str">
        <f t="shared" si="9"/>
        <v>010001E8</v>
      </c>
      <c r="D128" s="60" t="s">
        <v>24</v>
      </c>
      <c r="E128" s="96" t="s">
        <v>25</v>
      </c>
      <c r="F128" s="97"/>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c r="AF128" s="97"/>
      <c r="AG128" s="97"/>
      <c r="AH128" s="97"/>
      <c r="AI128" s="97"/>
      <c r="AJ128" s="98"/>
    </row>
    <row r="129" spans="1:36" outlineLevel="2">
      <c r="A129" s="81"/>
      <c r="B129" s="79"/>
      <c r="C129" s="10" t="str">
        <f t="shared" si="9"/>
        <v>010001EC</v>
      </c>
      <c r="D129" s="68" t="s">
        <v>343</v>
      </c>
      <c r="E129" s="179" t="s">
        <v>344</v>
      </c>
      <c r="F129" s="180"/>
      <c r="G129" s="180"/>
      <c r="H129" s="180"/>
      <c r="I129" s="180"/>
      <c r="J129" s="180"/>
      <c r="K129" s="180"/>
      <c r="L129" s="180"/>
      <c r="M129" s="180"/>
      <c r="N129" s="180"/>
      <c r="O129" s="180"/>
      <c r="P129" s="180"/>
      <c r="Q129" s="180"/>
      <c r="R129" s="180"/>
      <c r="S129" s="180"/>
      <c r="T129" s="180"/>
      <c r="U129" s="180"/>
      <c r="V129" s="180"/>
      <c r="W129" s="180"/>
      <c r="X129" s="180"/>
      <c r="Y129" s="180"/>
      <c r="Z129" s="180"/>
      <c r="AA129" s="180"/>
      <c r="AB129" s="180"/>
      <c r="AC129" s="180"/>
      <c r="AD129" s="180"/>
      <c r="AE129" s="180"/>
      <c r="AF129" s="180"/>
      <c r="AG129" s="180"/>
      <c r="AH129" s="180"/>
      <c r="AI129" s="180"/>
      <c r="AJ129" s="181"/>
    </row>
    <row r="130" spans="1:36" outlineLevel="2">
      <c r="A130" s="81"/>
      <c r="B130" s="109" t="str">
        <f>DEC2HEX(HEX2DEC(B126) + 1)</f>
        <v>10001F</v>
      </c>
      <c r="C130" s="10" t="str">
        <f t="shared" si="9"/>
        <v>010001F0</v>
      </c>
      <c r="D130" s="182" t="s">
        <v>345</v>
      </c>
      <c r="E130" s="152" t="s">
        <v>346</v>
      </c>
      <c r="F130" s="153"/>
      <c r="G130" s="153"/>
      <c r="H130" s="153"/>
      <c r="I130" s="153"/>
      <c r="J130" s="153"/>
      <c r="K130" s="153"/>
      <c r="L130" s="153"/>
      <c r="M130" s="153"/>
      <c r="N130" s="153"/>
      <c r="O130" s="153"/>
      <c r="P130" s="153"/>
      <c r="Q130" s="153"/>
      <c r="R130" s="153"/>
      <c r="S130" s="153"/>
      <c r="T130" s="153"/>
      <c r="U130" s="153"/>
      <c r="V130" s="153"/>
      <c r="W130" s="153"/>
      <c r="X130" s="153"/>
      <c r="Y130" s="153"/>
      <c r="Z130" s="153"/>
      <c r="AA130" s="153"/>
      <c r="AB130" s="153"/>
      <c r="AC130" s="153"/>
      <c r="AD130" s="153"/>
      <c r="AE130" s="153"/>
      <c r="AF130" s="153"/>
      <c r="AG130" s="153"/>
      <c r="AH130" s="153"/>
      <c r="AI130" s="153"/>
      <c r="AJ130" s="154"/>
    </row>
    <row r="131" spans="1:36" outlineLevel="2">
      <c r="A131" s="81"/>
      <c r="B131" s="79"/>
      <c r="C131" s="10" t="str">
        <f t="shared" si="9"/>
        <v>010001F4</v>
      </c>
      <c r="D131" s="183"/>
      <c r="E131" s="155" t="s">
        <v>347</v>
      </c>
      <c r="F131" s="156"/>
      <c r="G131" s="156"/>
      <c r="H131" s="156"/>
      <c r="I131" s="156"/>
      <c r="J131" s="156"/>
      <c r="K131" s="156"/>
      <c r="L131" s="156"/>
      <c r="M131" s="156"/>
      <c r="N131" s="156"/>
      <c r="O131" s="156"/>
      <c r="P131" s="156"/>
      <c r="Q131" s="156"/>
      <c r="R131" s="156"/>
      <c r="S131" s="156"/>
      <c r="T131" s="156"/>
      <c r="U131" s="156"/>
      <c r="V131" s="156"/>
      <c r="W131" s="156"/>
      <c r="X131" s="156"/>
      <c r="Y131" s="156"/>
      <c r="Z131" s="156"/>
      <c r="AA131" s="156"/>
      <c r="AB131" s="156"/>
      <c r="AC131" s="156"/>
      <c r="AD131" s="156"/>
      <c r="AE131" s="156"/>
      <c r="AF131" s="156"/>
      <c r="AG131" s="156"/>
      <c r="AH131" s="156"/>
      <c r="AI131" s="156"/>
      <c r="AJ131" s="157"/>
    </row>
    <row r="132" spans="1:36" outlineLevel="2">
      <c r="A132" s="81"/>
      <c r="B132" s="79"/>
      <c r="C132" s="10" t="str">
        <f t="shared" si="9"/>
        <v>010001F8</v>
      </c>
      <c r="D132" s="183"/>
      <c r="E132" s="155" t="s">
        <v>348</v>
      </c>
      <c r="F132" s="156"/>
      <c r="G132" s="156"/>
      <c r="H132" s="156"/>
      <c r="I132" s="156"/>
      <c r="J132" s="156"/>
      <c r="K132" s="156"/>
      <c r="L132" s="156"/>
      <c r="M132" s="156"/>
      <c r="N132" s="156"/>
      <c r="O132" s="156"/>
      <c r="P132" s="156"/>
      <c r="Q132" s="156"/>
      <c r="R132" s="156"/>
      <c r="S132" s="156"/>
      <c r="T132" s="156"/>
      <c r="U132" s="156"/>
      <c r="V132" s="156"/>
      <c r="W132" s="156"/>
      <c r="X132" s="156"/>
      <c r="Y132" s="156"/>
      <c r="Z132" s="156"/>
      <c r="AA132" s="156"/>
      <c r="AB132" s="156"/>
      <c r="AC132" s="156"/>
      <c r="AD132" s="156"/>
      <c r="AE132" s="156"/>
      <c r="AF132" s="156"/>
      <c r="AG132" s="156"/>
      <c r="AH132" s="156"/>
      <c r="AI132" s="156"/>
      <c r="AJ132" s="157"/>
    </row>
    <row r="133" spans="1:36" outlineLevel="2">
      <c r="A133" s="81"/>
      <c r="B133" s="79"/>
      <c r="C133" s="10" t="str">
        <f t="shared" si="9"/>
        <v>010001FC</v>
      </c>
      <c r="D133" s="184"/>
      <c r="E133" s="158" t="s">
        <v>349</v>
      </c>
      <c r="F133" s="159"/>
      <c r="G133" s="159"/>
      <c r="H133" s="159"/>
      <c r="I133" s="159"/>
      <c r="J133" s="159"/>
      <c r="K133" s="159"/>
      <c r="L133" s="159"/>
      <c r="M133" s="159"/>
      <c r="N133" s="159"/>
      <c r="O133" s="159"/>
      <c r="P133" s="159"/>
      <c r="Q133" s="159"/>
      <c r="R133" s="159"/>
      <c r="S133" s="159"/>
      <c r="T133" s="159"/>
      <c r="U133" s="159"/>
      <c r="V133" s="159"/>
      <c r="W133" s="159"/>
      <c r="X133" s="159"/>
      <c r="Y133" s="159"/>
      <c r="Z133" s="159"/>
      <c r="AA133" s="159"/>
      <c r="AB133" s="159"/>
      <c r="AC133" s="159"/>
      <c r="AD133" s="159"/>
      <c r="AE133" s="159"/>
      <c r="AF133" s="159"/>
      <c r="AG133" s="159"/>
      <c r="AH133" s="159"/>
      <c r="AI133" s="159"/>
      <c r="AJ133" s="160"/>
    </row>
    <row r="134" spans="1:36" outlineLevel="2">
      <c r="A134" s="81"/>
      <c r="B134" s="166" t="s">
        <v>350</v>
      </c>
      <c r="C134" s="166" t="s">
        <v>350</v>
      </c>
      <c r="D134" s="167" t="s">
        <v>351</v>
      </c>
      <c r="E134" s="170"/>
      <c r="F134" s="171"/>
      <c r="G134" s="171"/>
      <c r="H134" s="171"/>
      <c r="I134" s="171"/>
      <c r="J134" s="171"/>
      <c r="K134" s="171"/>
      <c r="L134" s="171"/>
      <c r="M134" s="171"/>
      <c r="N134" s="171"/>
      <c r="O134" s="171"/>
      <c r="P134" s="171"/>
      <c r="Q134" s="171"/>
      <c r="R134" s="171"/>
      <c r="S134" s="171"/>
      <c r="T134" s="171"/>
      <c r="U134" s="171"/>
      <c r="V134" s="171"/>
      <c r="W134" s="171"/>
      <c r="X134" s="171"/>
      <c r="Y134" s="171"/>
      <c r="Z134" s="171"/>
      <c r="AA134" s="171"/>
      <c r="AB134" s="171"/>
      <c r="AC134" s="171"/>
      <c r="AD134" s="171"/>
      <c r="AE134" s="171"/>
      <c r="AF134" s="171"/>
      <c r="AG134" s="171"/>
      <c r="AH134" s="171"/>
      <c r="AI134" s="171"/>
      <c r="AJ134" s="172"/>
    </row>
    <row r="135" spans="1:36" outlineLevel="2">
      <c r="A135" s="81"/>
      <c r="B135" s="79"/>
      <c r="C135" s="79"/>
      <c r="D135" s="168"/>
      <c r="E135" s="173"/>
      <c r="F135" s="174"/>
      <c r="G135" s="174"/>
      <c r="H135" s="174"/>
      <c r="I135" s="174"/>
      <c r="J135" s="174"/>
      <c r="K135" s="174"/>
      <c r="L135" s="174"/>
      <c r="M135" s="174"/>
      <c r="N135" s="174"/>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5"/>
    </row>
    <row r="136" spans="1:36" outlineLevel="2">
      <c r="A136" s="81"/>
      <c r="B136" s="79"/>
      <c r="C136" s="79"/>
      <c r="D136" s="168"/>
      <c r="E136" s="173"/>
      <c r="F136" s="174"/>
      <c r="G136" s="174"/>
      <c r="H136" s="174"/>
      <c r="I136" s="174"/>
      <c r="J136" s="174"/>
      <c r="K136" s="174"/>
      <c r="L136" s="174"/>
      <c r="M136" s="174"/>
      <c r="N136" s="174"/>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5"/>
    </row>
    <row r="137" spans="1:36" outlineLevel="2">
      <c r="A137" s="81"/>
      <c r="B137" s="79"/>
      <c r="C137" s="79"/>
      <c r="D137" s="169"/>
      <c r="E137" s="176"/>
      <c r="F137" s="177"/>
      <c r="G137" s="177"/>
      <c r="H137" s="177"/>
      <c r="I137" s="177"/>
      <c r="J137" s="177"/>
      <c r="K137" s="177"/>
      <c r="L137" s="177"/>
      <c r="M137" s="177"/>
      <c r="N137" s="177"/>
      <c r="O137" s="177"/>
      <c r="P137" s="177"/>
      <c r="Q137" s="177"/>
      <c r="R137" s="177"/>
      <c r="S137" s="177"/>
      <c r="T137" s="177"/>
      <c r="U137" s="177"/>
      <c r="V137" s="177"/>
      <c r="W137" s="177"/>
      <c r="X137" s="177"/>
      <c r="Y137" s="177"/>
      <c r="Z137" s="177"/>
      <c r="AA137" s="177"/>
      <c r="AB137" s="177"/>
      <c r="AC137" s="177"/>
      <c r="AD137" s="177"/>
      <c r="AE137" s="177"/>
      <c r="AF137" s="177"/>
      <c r="AG137" s="177"/>
      <c r="AH137" s="177"/>
      <c r="AI137" s="177"/>
      <c r="AJ137" s="178"/>
    </row>
    <row r="138" spans="1:36" ht="26">
      <c r="A138" s="21" t="s">
        <v>8</v>
      </c>
      <c r="B138" s="22"/>
      <c r="C138" s="22"/>
      <c r="D138" s="23"/>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24"/>
      <c r="AJ138" s="6"/>
    </row>
    <row r="139" spans="1:36" ht="15.75" hidden="1" customHeight="1" outlineLevel="1">
      <c r="A139" s="317" t="s">
        <v>352</v>
      </c>
      <c r="B139" s="109">
        <v>100400</v>
      </c>
      <c r="C139" s="52" t="str">
        <f>DEC2HEX(HEX2DEC($B$139)*16,8)</f>
        <v>01004000</v>
      </c>
      <c r="D139" s="61" t="s">
        <v>353</v>
      </c>
      <c r="E139" s="195" t="s">
        <v>354</v>
      </c>
      <c r="F139" s="196"/>
      <c r="G139" s="196"/>
      <c r="H139" s="196"/>
      <c r="I139" s="196"/>
      <c r="J139" s="196"/>
      <c r="K139" s="196"/>
      <c r="L139" s="196"/>
      <c r="M139" s="196"/>
      <c r="N139" s="196"/>
      <c r="O139" s="196"/>
      <c r="P139" s="196"/>
      <c r="Q139" s="196"/>
      <c r="R139" s="196"/>
      <c r="S139" s="196"/>
      <c r="T139" s="197"/>
      <c r="U139" s="113" t="s">
        <v>15</v>
      </c>
      <c r="V139" s="115"/>
      <c r="W139" s="149" t="s">
        <v>355</v>
      </c>
      <c r="X139" s="165"/>
      <c r="Y139" s="113" t="s">
        <v>15</v>
      </c>
      <c r="Z139" s="115"/>
      <c r="AA139" s="149" t="s">
        <v>356</v>
      </c>
      <c r="AB139" s="151"/>
      <c r="AC139" s="13" t="s">
        <v>15</v>
      </c>
      <c r="AD139" s="185" t="s">
        <v>357</v>
      </c>
      <c r="AE139" s="186"/>
      <c r="AF139" s="187"/>
      <c r="AG139" s="13" t="s">
        <v>15</v>
      </c>
      <c r="AH139" s="13" t="s">
        <v>15</v>
      </c>
      <c r="AI139" s="185" t="s">
        <v>358</v>
      </c>
      <c r="AJ139" s="188"/>
    </row>
    <row r="140" spans="1:36" hidden="1" outlineLevel="1">
      <c r="A140" s="317"/>
      <c r="B140" s="79"/>
      <c r="C140" s="12" t="str">
        <f>DEC2HEX(HEX2DEC(C139) + 4,8)</f>
        <v>01004004</v>
      </c>
      <c r="D140" s="12" t="s">
        <v>359</v>
      </c>
      <c r="E140" s="189" t="s">
        <v>15</v>
      </c>
      <c r="F140" s="190"/>
      <c r="G140" s="190"/>
      <c r="H140" s="190"/>
      <c r="I140" s="190"/>
      <c r="J140" s="190"/>
      <c r="K140" s="190"/>
      <c r="L140" s="190"/>
      <c r="M140" s="190"/>
      <c r="N140" s="190"/>
      <c r="O140" s="190"/>
      <c r="P140" s="190"/>
      <c r="Q140" s="190"/>
      <c r="R140" s="190"/>
      <c r="S140" s="190"/>
      <c r="T140" s="191"/>
      <c r="U140" s="161" t="s">
        <v>360</v>
      </c>
      <c r="V140" s="163"/>
      <c r="W140" s="161" t="s">
        <v>361</v>
      </c>
      <c r="X140" s="163"/>
      <c r="Y140" s="161" t="s">
        <v>362</v>
      </c>
      <c r="Z140" s="163"/>
      <c r="AA140" s="161" t="s">
        <v>363</v>
      </c>
      <c r="AB140" s="163"/>
      <c r="AC140" s="149" t="s">
        <v>364</v>
      </c>
      <c r="AD140" s="192"/>
      <c r="AE140" s="192"/>
      <c r="AF140" s="193" t="s">
        <v>365</v>
      </c>
      <c r="AG140" s="194"/>
      <c r="AH140" s="194"/>
      <c r="AI140" s="194"/>
      <c r="AJ140" s="194"/>
    </row>
    <row r="141" spans="1:36" hidden="1" outlineLevel="1">
      <c r="A141" s="317"/>
      <c r="B141" s="79"/>
      <c r="C141" s="12" t="str">
        <f t="shared" ref="C141:C204" si="10">DEC2HEX(HEX2DEC(C140) + 4,8)</f>
        <v>01004008</v>
      </c>
      <c r="D141" s="12" t="s">
        <v>366</v>
      </c>
      <c r="E141" s="217" t="s">
        <v>15</v>
      </c>
      <c r="F141" s="218"/>
      <c r="G141" s="218"/>
      <c r="H141" s="218"/>
      <c r="I141" s="218"/>
      <c r="J141" s="218"/>
      <c r="K141" s="218"/>
      <c r="L141" s="219"/>
      <c r="M141" s="220" t="s">
        <v>367</v>
      </c>
      <c r="N141" s="221"/>
      <c r="O141" s="221"/>
      <c r="P141" s="221"/>
      <c r="Q141" s="221"/>
      <c r="R141" s="221"/>
      <c r="S141" s="221"/>
      <c r="T141" s="221"/>
      <c r="U141" s="198" t="s">
        <v>368</v>
      </c>
      <c r="V141" s="199"/>
      <c r="W141" s="199"/>
      <c r="X141" s="199"/>
      <c r="Y141" s="199"/>
      <c r="Z141" s="199"/>
      <c r="AA141" s="199"/>
      <c r="AB141" s="199"/>
      <c r="AC141" s="198" t="s">
        <v>369</v>
      </c>
      <c r="AD141" s="199"/>
      <c r="AE141" s="199"/>
      <c r="AF141" s="200"/>
      <c r="AG141" s="200"/>
      <c r="AH141" s="200"/>
      <c r="AI141" s="200"/>
      <c r="AJ141" s="200"/>
    </row>
    <row r="142" spans="1:36" hidden="1" outlineLevel="1">
      <c r="A142" s="317"/>
      <c r="B142" s="79"/>
      <c r="C142" s="12" t="str">
        <f t="shared" si="10"/>
        <v>0100400C</v>
      </c>
      <c r="D142" s="12" t="s">
        <v>370</v>
      </c>
      <c r="E142" s="201" t="s">
        <v>371</v>
      </c>
      <c r="F142" s="202"/>
      <c r="G142" s="202"/>
      <c r="H142" s="202"/>
      <c r="I142" s="202"/>
      <c r="J142" s="202"/>
      <c r="K142" s="202"/>
      <c r="L142" s="202"/>
      <c r="M142" s="202"/>
      <c r="N142" s="202"/>
      <c r="O142" s="202"/>
      <c r="P142" s="202"/>
      <c r="Q142" s="202"/>
      <c r="R142" s="202"/>
      <c r="S142" s="202"/>
      <c r="T142" s="202"/>
      <c r="U142" s="203" t="s">
        <v>372</v>
      </c>
      <c r="V142" s="203"/>
      <c r="W142" s="203"/>
      <c r="X142" s="203"/>
      <c r="Y142" s="203"/>
      <c r="Z142" s="203"/>
      <c r="AA142" s="203"/>
      <c r="AB142" s="203"/>
      <c r="AC142" s="203"/>
      <c r="AD142" s="204"/>
      <c r="AE142" s="204"/>
      <c r="AF142" s="204"/>
      <c r="AG142" s="203"/>
      <c r="AH142" s="203"/>
      <c r="AI142" s="203"/>
      <c r="AJ142" s="203"/>
    </row>
    <row r="143" spans="1:36" ht="16.149999999999999" hidden="1" customHeight="1" outlineLevel="1">
      <c r="A143" s="317"/>
      <c r="B143" s="109" t="str">
        <f>DEC2HEX(HEX2DEC(B139) + 1)</f>
        <v>100401</v>
      </c>
      <c r="C143" s="12" t="str">
        <f t="shared" si="10"/>
        <v>01004010</v>
      </c>
      <c r="D143" s="61" t="s">
        <v>373</v>
      </c>
      <c r="E143" s="43" t="s">
        <v>374</v>
      </c>
      <c r="F143" s="205" t="s">
        <v>15</v>
      </c>
      <c r="G143" s="206"/>
      <c r="H143" s="207" t="s">
        <v>375</v>
      </c>
      <c r="I143" s="208"/>
      <c r="J143" s="208"/>
      <c r="K143" s="209"/>
      <c r="L143" s="207" t="s">
        <v>376</v>
      </c>
      <c r="M143" s="209"/>
      <c r="N143" s="210" t="s">
        <v>377</v>
      </c>
      <c r="O143" s="211"/>
      <c r="P143" s="211"/>
      <c r="Q143" s="211"/>
      <c r="R143" s="212"/>
      <c r="S143" s="210" t="s">
        <v>378</v>
      </c>
      <c r="T143" s="211"/>
      <c r="U143" s="213"/>
      <c r="V143" s="56" t="s">
        <v>379</v>
      </c>
      <c r="W143" s="214" t="s">
        <v>380</v>
      </c>
      <c r="X143" s="215"/>
      <c r="Y143" s="216"/>
      <c r="Z143" s="214" t="s">
        <v>381</v>
      </c>
      <c r="AA143" s="215"/>
      <c r="AB143" s="215"/>
      <c r="AC143" s="215"/>
      <c r="AD143" s="225" t="s">
        <v>382</v>
      </c>
      <c r="AE143" s="225"/>
      <c r="AF143" s="225"/>
      <c r="AG143" s="215" t="s">
        <v>383</v>
      </c>
      <c r="AH143" s="215"/>
      <c r="AI143" s="216"/>
      <c r="AJ143" s="28" t="s">
        <v>384</v>
      </c>
    </row>
    <row r="144" spans="1:36" hidden="1" outlineLevel="1">
      <c r="A144" s="317"/>
      <c r="B144" s="79"/>
      <c r="C144" s="12" t="str">
        <f t="shared" si="10"/>
        <v>01004014</v>
      </c>
      <c r="D144" s="12" t="s">
        <v>385</v>
      </c>
      <c r="E144" s="118" t="s">
        <v>15</v>
      </c>
      <c r="F144" s="119"/>
      <c r="G144" s="119"/>
      <c r="H144" s="119"/>
      <c r="I144" s="119"/>
      <c r="J144" s="119"/>
      <c r="K144" s="119"/>
      <c r="L144" s="119"/>
      <c r="M144" s="119"/>
      <c r="N144" s="119"/>
      <c r="O144" s="120"/>
      <c r="P144" s="207" t="s">
        <v>386</v>
      </c>
      <c r="Q144" s="208"/>
      <c r="R144" s="208"/>
      <c r="S144" s="209"/>
      <c r="T144" s="214" t="s">
        <v>387</v>
      </c>
      <c r="U144" s="215"/>
      <c r="V144" s="215"/>
      <c r="W144" s="215"/>
      <c r="X144" s="215"/>
      <c r="Y144" s="215"/>
      <c r="Z144" s="215"/>
      <c r="AA144" s="215"/>
      <c r="AB144" s="215"/>
      <c r="AC144" s="216"/>
      <c r="AD144" s="214" t="s">
        <v>388</v>
      </c>
      <c r="AE144" s="215"/>
      <c r="AF144" s="215"/>
      <c r="AG144" s="226"/>
      <c r="AH144" s="226"/>
      <c r="AI144" s="226"/>
      <c r="AJ144" s="227"/>
    </row>
    <row r="145" spans="1:36" hidden="1" outlineLevel="1">
      <c r="A145" s="317"/>
      <c r="B145" s="79"/>
      <c r="C145" s="12" t="str">
        <f t="shared" si="10"/>
        <v>01004018</v>
      </c>
      <c r="D145" s="49" t="s">
        <v>389</v>
      </c>
      <c r="E145" s="222" t="s">
        <v>15</v>
      </c>
      <c r="F145" s="223"/>
      <c r="G145" s="223"/>
      <c r="H145" s="224"/>
      <c r="I145" s="149" t="s">
        <v>390</v>
      </c>
      <c r="J145" s="164"/>
      <c r="K145" s="164"/>
      <c r="L145" s="164"/>
      <c r="M145" s="149" t="s">
        <v>391</v>
      </c>
      <c r="N145" s="164"/>
      <c r="O145" s="164"/>
      <c r="P145" s="164"/>
      <c r="Q145" s="164"/>
      <c r="R145" s="164"/>
      <c r="S145" s="164"/>
      <c r="T145" s="165"/>
      <c r="U145" s="149" t="s">
        <v>392</v>
      </c>
      <c r="V145" s="164"/>
      <c r="W145" s="164"/>
      <c r="X145" s="164"/>
      <c r="Y145" s="149" t="s">
        <v>393</v>
      </c>
      <c r="Z145" s="164"/>
      <c r="AA145" s="164"/>
      <c r="AB145" s="164"/>
      <c r="AC145" s="149" t="s">
        <v>394</v>
      </c>
      <c r="AD145" s="164"/>
      <c r="AE145" s="164"/>
      <c r="AF145" s="164"/>
      <c r="AG145" s="164"/>
      <c r="AH145" s="164"/>
      <c r="AI145" s="164"/>
      <c r="AJ145" s="165"/>
    </row>
    <row r="146" spans="1:36" hidden="1" outlineLevel="1">
      <c r="A146" s="317"/>
      <c r="B146" s="79"/>
      <c r="C146" s="12" t="str">
        <f t="shared" si="10"/>
        <v>0100401C</v>
      </c>
      <c r="D146" s="59" t="s">
        <v>395</v>
      </c>
      <c r="E146" s="229" t="s">
        <v>396</v>
      </c>
      <c r="F146" s="230"/>
      <c r="G146" s="161" t="s">
        <v>397</v>
      </c>
      <c r="H146" s="163"/>
      <c r="I146" s="149" t="s">
        <v>398</v>
      </c>
      <c r="J146" s="164"/>
      <c r="K146" s="164"/>
      <c r="L146" s="164"/>
      <c r="M146" s="149" t="s">
        <v>399</v>
      </c>
      <c r="N146" s="164"/>
      <c r="O146" s="164"/>
      <c r="P146" s="164"/>
      <c r="Q146" s="164"/>
      <c r="R146" s="164"/>
      <c r="S146" s="164"/>
      <c r="T146" s="165"/>
      <c r="U146" s="222" t="s">
        <v>15</v>
      </c>
      <c r="V146" s="223"/>
      <c r="W146" s="223"/>
      <c r="X146" s="224"/>
      <c r="Y146" s="149" t="s">
        <v>400</v>
      </c>
      <c r="Z146" s="164"/>
      <c r="AA146" s="164"/>
      <c r="AB146" s="164"/>
      <c r="AC146" s="149" t="s">
        <v>401</v>
      </c>
      <c r="AD146" s="164"/>
      <c r="AE146" s="164"/>
      <c r="AF146" s="164"/>
      <c r="AG146" s="164"/>
      <c r="AH146" s="164"/>
      <c r="AI146" s="164"/>
      <c r="AJ146" s="165"/>
    </row>
    <row r="147" spans="1:36" hidden="1" outlineLevel="1">
      <c r="A147" s="317"/>
      <c r="B147" s="109" t="str">
        <f>DEC2HEX(HEX2DEC(B143) + 1)</f>
        <v>100402</v>
      </c>
      <c r="C147" s="12" t="str">
        <f t="shared" si="10"/>
        <v>01004020</v>
      </c>
      <c r="D147" s="61" t="s">
        <v>402</v>
      </c>
      <c r="E147" s="222" t="s">
        <v>15</v>
      </c>
      <c r="F147" s="223"/>
      <c r="G147" s="223"/>
      <c r="H147" s="224"/>
      <c r="I147" s="149" t="s">
        <v>403</v>
      </c>
      <c r="J147" s="164"/>
      <c r="K147" s="164"/>
      <c r="L147" s="164"/>
      <c r="M147" s="149" t="s">
        <v>404</v>
      </c>
      <c r="N147" s="164"/>
      <c r="O147" s="164"/>
      <c r="P147" s="164"/>
      <c r="Q147" s="164"/>
      <c r="R147" s="164"/>
      <c r="S147" s="164"/>
      <c r="T147" s="165"/>
      <c r="U147" s="149" t="s">
        <v>405</v>
      </c>
      <c r="V147" s="164"/>
      <c r="W147" s="164"/>
      <c r="X147" s="164"/>
      <c r="Y147" s="149" t="s">
        <v>406</v>
      </c>
      <c r="Z147" s="164"/>
      <c r="AA147" s="164"/>
      <c r="AB147" s="164"/>
      <c r="AC147" s="149" t="s">
        <v>407</v>
      </c>
      <c r="AD147" s="164"/>
      <c r="AE147" s="164"/>
      <c r="AF147" s="164"/>
      <c r="AG147" s="164"/>
      <c r="AH147" s="164"/>
      <c r="AI147" s="164"/>
      <c r="AJ147" s="165"/>
    </row>
    <row r="148" spans="1:36" hidden="1" outlineLevel="1">
      <c r="A148" s="317"/>
      <c r="B148" s="79"/>
      <c r="C148" s="12" t="str">
        <f t="shared" si="10"/>
        <v>01004024</v>
      </c>
      <c r="D148" s="12" t="s">
        <v>408</v>
      </c>
      <c r="E148" s="205" t="s">
        <v>15</v>
      </c>
      <c r="F148" s="228"/>
      <c r="G148" s="228"/>
      <c r="H148" s="206"/>
      <c r="I148" s="149" t="s">
        <v>409</v>
      </c>
      <c r="J148" s="164"/>
      <c r="K148" s="164"/>
      <c r="L148" s="164"/>
      <c r="M148" s="149" t="s">
        <v>410</v>
      </c>
      <c r="N148" s="164"/>
      <c r="O148" s="164"/>
      <c r="P148" s="164"/>
      <c r="Q148" s="164"/>
      <c r="R148" s="164"/>
      <c r="S148" s="164"/>
      <c r="T148" s="165"/>
      <c r="U148" s="149" t="s">
        <v>411</v>
      </c>
      <c r="V148" s="164"/>
      <c r="W148" s="164"/>
      <c r="X148" s="164"/>
      <c r="Y148" s="149" t="s">
        <v>412</v>
      </c>
      <c r="Z148" s="164"/>
      <c r="AA148" s="164"/>
      <c r="AB148" s="164"/>
      <c r="AC148" s="149" t="s">
        <v>413</v>
      </c>
      <c r="AD148" s="164"/>
      <c r="AE148" s="164"/>
      <c r="AF148" s="164"/>
      <c r="AG148" s="164"/>
      <c r="AH148" s="164"/>
      <c r="AI148" s="164"/>
      <c r="AJ148" s="165"/>
    </row>
    <row r="149" spans="1:36" hidden="1" outlineLevel="1">
      <c r="A149" s="317"/>
      <c r="B149" s="79"/>
      <c r="C149" s="12" t="str">
        <f t="shared" si="10"/>
        <v>01004028</v>
      </c>
      <c r="D149" s="12" t="s">
        <v>414</v>
      </c>
      <c r="E149" s="236" t="s">
        <v>415</v>
      </c>
      <c r="F149" s="237"/>
      <c r="G149" s="237"/>
      <c r="H149" s="238"/>
      <c r="I149" s="149" t="s">
        <v>416</v>
      </c>
      <c r="J149" s="164"/>
      <c r="K149" s="164"/>
      <c r="L149" s="164"/>
      <c r="M149" s="149" t="s">
        <v>417</v>
      </c>
      <c r="N149" s="164"/>
      <c r="O149" s="164"/>
      <c r="P149" s="164"/>
      <c r="Q149" s="164"/>
      <c r="R149" s="164"/>
      <c r="S149" s="164"/>
      <c r="T149" s="165"/>
      <c r="U149" s="149" t="s">
        <v>418</v>
      </c>
      <c r="V149" s="164"/>
      <c r="W149" s="164"/>
      <c r="X149" s="164"/>
      <c r="Y149" s="149" t="s">
        <v>419</v>
      </c>
      <c r="Z149" s="164"/>
      <c r="AA149" s="164"/>
      <c r="AB149" s="164"/>
      <c r="AC149" s="149" t="s">
        <v>420</v>
      </c>
      <c r="AD149" s="164"/>
      <c r="AE149" s="164"/>
      <c r="AF149" s="164"/>
      <c r="AG149" s="164"/>
      <c r="AH149" s="164"/>
      <c r="AI149" s="164"/>
      <c r="AJ149" s="165"/>
    </row>
    <row r="150" spans="1:36" ht="16.149999999999999" hidden="1" customHeight="1" outlineLevel="1">
      <c r="A150" s="317"/>
      <c r="B150" s="79"/>
      <c r="C150" s="12" t="str">
        <f t="shared" si="10"/>
        <v>0100402C</v>
      </c>
      <c r="D150" s="14" t="s">
        <v>421</v>
      </c>
      <c r="E150" s="231" t="s">
        <v>15</v>
      </c>
      <c r="F150" s="232"/>
      <c r="G150" s="232"/>
      <c r="H150" s="233"/>
      <c r="I150" s="149" t="s">
        <v>422</v>
      </c>
      <c r="J150" s="164"/>
      <c r="K150" s="164"/>
      <c r="L150" s="164"/>
      <c r="M150" s="149" t="s">
        <v>423</v>
      </c>
      <c r="N150" s="164"/>
      <c r="O150" s="164"/>
      <c r="P150" s="164"/>
      <c r="Q150" s="164"/>
      <c r="R150" s="164"/>
      <c r="S150" s="164"/>
      <c r="T150" s="165"/>
      <c r="U150" s="149" t="s">
        <v>424</v>
      </c>
      <c r="V150" s="164"/>
      <c r="W150" s="164"/>
      <c r="X150" s="164"/>
      <c r="Y150" s="149" t="s">
        <v>425</v>
      </c>
      <c r="Z150" s="164"/>
      <c r="AA150" s="164"/>
      <c r="AB150" s="164"/>
      <c r="AC150" s="149" t="s">
        <v>426</v>
      </c>
      <c r="AD150" s="164"/>
      <c r="AE150" s="164"/>
      <c r="AF150" s="164"/>
      <c r="AG150" s="164"/>
      <c r="AH150" s="164"/>
      <c r="AI150" s="164"/>
      <c r="AJ150" s="165"/>
    </row>
    <row r="151" spans="1:36" hidden="1" outlineLevel="1">
      <c r="A151" s="317"/>
      <c r="B151" s="109" t="str">
        <f t="shared" ref="B151" si="11">DEC2HEX(HEX2DEC(B147) + 1)</f>
        <v>100403</v>
      </c>
      <c r="C151" s="12" t="str">
        <f t="shared" si="10"/>
        <v>01004030</v>
      </c>
      <c r="D151" s="10" t="s">
        <v>427</v>
      </c>
      <c r="E151" s="234" t="s">
        <v>15</v>
      </c>
      <c r="F151" s="235"/>
      <c r="G151" s="161" t="s">
        <v>428</v>
      </c>
      <c r="H151" s="163"/>
      <c r="I151" s="149" t="s">
        <v>429</v>
      </c>
      <c r="J151" s="164"/>
      <c r="K151" s="164"/>
      <c r="L151" s="164"/>
      <c r="M151" s="149" t="s">
        <v>430</v>
      </c>
      <c r="N151" s="164"/>
      <c r="O151" s="164"/>
      <c r="P151" s="164"/>
      <c r="Q151" s="164"/>
      <c r="R151" s="164"/>
      <c r="S151" s="164"/>
      <c r="T151" s="165"/>
      <c r="U151" s="205" t="s">
        <v>15</v>
      </c>
      <c r="V151" s="228"/>
      <c r="W151" s="228"/>
      <c r="X151" s="206"/>
      <c r="Y151" s="149" t="s">
        <v>431</v>
      </c>
      <c r="Z151" s="164"/>
      <c r="AA151" s="164"/>
      <c r="AB151" s="164"/>
      <c r="AC151" s="149" t="s">
        <v>432</v>
      </c>
      <c r="AD151" s="164"/>
      <c r="AE151" s="164"/>
      <c r="AF151" s="164"/>
      <c r="AG151" s="164"/>
      <c r="AH151" s="164"/>
      <c r="AI151" s="164"/>
      <c r="AJ151" s="165"/>
    </row>
    <row r="152" spans="1:36" hidden="1" outlineLevel="1">
      <c r="A152" s="317"/>
      <c r="B152" s="79"/>
      <c r="C152" s="12" t="str">
        <f t="shared" si="10"/>
        <v>01004034</v>
      </c>
      <c r="D152" s="12" t="s">
        <v>433</v>
      </c>
      <c r="E152" s="116" t="s">
        <v>434</v>
      </c>
      <c r="F152" s="251"/>
      <c r="G152" s="251"/>
      <c r="H152" s="251"/>
      <c r="I152" s="251"/>
      <c r="J152" s="251"/>
      <c r="K152" s="251"/>
      <c r="L152" s="251"/>
      <c r="M152" s="251"/>
      <c r="N152" s="251"/>
      <c r="O152" s="251"/>
      <c r="P152" s="251"/>
      <c r="Q152" s="251"/>
      <c r="R152" s="251"/>
      <c r="S152" s="251"/>
      <c r="T152" s="252"/>
      <c r="U152" s="116" t="s">
        <v>435</v>
      </c>
      <c r="V152" s="251"/>
      <c r="W152" s="251"/>
      <c r="X152" s="251"/>
      <c r="Y152" s="251"/>
      <c r="Z152" s="251"/>
      <c r="AA152" s="251"/>
      <c r="AB152" s="251"/>
      <c r="AC152" s="251"/>
      <c r="AD152" s="251"/>
      <c r="AE152" s="251"/>
      <c r="AF152" s="251"/>
      <c r="AG152" s="251"/>
      <c r="AH152" s="251"/>
      <c r="AI152" s="251"/>
      <c r="AJ152" s="253"/>
    </row>
    <row r="153" spans="1:36" ht="16.149999999999999" hidden="1" customHeight="1" outlineLevel="1">
      <c r="A153" s="317"/>
      <c r="B153" s="79"/>
      <c r="C153" s="12" t="str">
        <f t="shared" si="10"/>
        <v>01004038</v>
      </c>
      <c r="D153" s="12" t="s">
        <v>436</v>
      </c>
      <c r="E153" s="217" t="s">
        <v>15</v>
      </c>
      <c r="F153" s="218"/>
      <c r="G153" s="218"/>
      <c r="H153" s="218"/>
      <c r="I153" s="218"/>
      <c r="J153" s="218"/>
      <c r="K153" s="218"/>
      <c r="L153" s="218"/>
      <c r="M153" s="218"/>
      <c r="N153" s="218"/>
      <c r="O153" s="218"/>
      <c r="P153" s="219"/>
      <c r="Q153" s="15" t="s">
        <v>437</v>
      </c>
      <c r="R153" s="254" t="s">
        <v>438</v>
      </c>
      <c r="S153" s="255"/>
      <c r="T153" s="256"/>
      <c r="U153" s="217" t="s">
        <v>15</v>
      </c>
      <c r="V153" s="218"/>
      <c r="W153" s="218"/>
      <c r="X153" s="219"/>
      <c r="Y153" s="149" t="s">
        <v>439</v>
      </c>
      <c r="Z153" s="164"/>
      <c r="AA153" s="164"/>
      <c r="AB153" s="164"/>
      <c r="AC153" s="149" t="s">
        <v>440</v>
      </c>
      <c r="AD153" s="164"/>
      <c r="AE153" s="164"/>
      <c r="AF153" s="164"/>
      <c r="AG153" s="164"/>
      <c r="AH153" s="164"/>
      <c r="AI153" s="164"/>
      <c r="AJ153" s="165"/>
    </row>
    <row r="154" spans="1:36" hidden="1" outlineLevel="1">
      <c r="A154" s="317"/>
      <c r="B154" s="79"/>
      <c r="C154" s="12" t="str">
        <f t="shared" si="10"/>
        <v>0100403C</v>
      </c>
      <c r="D154" s="14" t="s">
        <v>441</v>
      </c>
      <c r="E154" s="137" t="s">
        <v>442</v>
      </c>
      <c r="F154" s="250"/>
      <c r="G154" s="137" t="s">
        <v>443</v>
      </c>
      <c r="H154" s="250"/>
      <c r="I154" s="137" t="s">
        <v>444</v>
      </c>
      <c r="J154" s="177"/>
      <c r="K154" s="137" t="s">
        <v>445</v>
      </c>
      <c r="L154" s="177"/>
      <c r="M154" s="137" t="s">
        <v>446</v>
      </c>
      <c r="N154" s="177"/>
      <c r="O154" s="118" t="s">
        <v>15</v>
      </c>
      <c r="P154" s="119"/>
      <c r="Q154" s="119"/>
      <c r="R154" s="119"/>
      <c r="S154" s="119"/>
      <c r="T154" s="119"/>
      <c r="U154" s="119"/>
      <c r="V154" s="119"/>
      <c r="W154" s="119"/>
      <c r="X154" s="119"/>
      <c r="Y154" s="119"/>
      <c r="Z154" s="119"/>
      <c r="AA154" s="119"/>
      <c r="AB154" s="120"/>
      <c r="AC154" s="239" t="s">
        <v>447</v>
      </c>
      <c r="AD154" s="240"/>
      <c r="AE154" s="240"/>
      <c r="AF154" s="240"/>
      <c r="AG154" s="240"/>
      <c r="AH154" s="240"/>
      <c r="AI154" s="240"/>
      <c r="AJ154" s="240"/>
    </row>
    <row r="155" spans="1:36" hidden="1" outlineLevel="1">
      <c r="A155" s="317"/>
      <c r="B155" s="109" t="str">
        <f t="shared" ref="B155" si="12">DEC2HEX(HEX2DEC(B151) + 1)</f>
        <v>100404</v>
      </c>
      <c r="C155" s="12" t="str">
        <f t="shared" si="10"/>
        <v>01004040</v>
      </c>
      <c r="D155" s="12" t="s">
        <v>448</v>
      </c>
      <c r="E155" s="241" t="s">
        <v>38</v>
      </c>
      <c r="F155" s="242"/>
      <c r="G155" s="242"/>
      <c r="H155" s="242"/>
      <c r="I155" s="242"/>
      <c r="J155" s="242"/>
      <c r="K155" s="242"/>
      <c r="L155" s="242"/>
      <c r="M155" s="242"/>
      <c r="N155" s="242"/>
      <c r="O155" s="242"/>
      <c r="P155" s="242"/>
      <c r="Q155" s="242"/>
      <c r="R155" s="242"/>
      <c r="S155" s="242"/>
      <c r="T155" s="243"/>
      <c r="U155" s="15" t="s">
        <v>41</v>
      </c>
      <c r="V155" s="205" t="s">
        <v>15</v>
      </c>
      <c r="W155" s="228"/>
      <c r="X155" s="228"/>
      <c r="Y155" s="206"/>
      <c r="Z155" s="16" t="s">
        <v>42</v>
      </c>
      <c r="AA155" s="16" t="s">
        <v>43</v>
      </c>
      <c r="AB155" s="10" t="s">
        <v>44</v>
      </c>
      <c r="AC155" s="25" t="s">
        <v>45</v>
      </c>
      <c r="AD155" s="24" t="s">
        <v>46</v>
      </c>
      <c r="AE155" s="16" t="s">
        <v>47</v>
      </c>
      <c r="AF155" s="13" t="s">
        <v>15</v>
      </c>
      <c r="AG155" s="10" t="s">
        <v>48</v>
      </c>
      <c r="AH155" s="10" t="s">
        <v>49</v>
      </c>
      <c r="AI155" s="26" t="s">
        <v>50</v>
      </c>
      <c r="AJ155" s="27" t="s">
        <v>51</v>
      </c>
    </row>
    <row r="156" spans="1:36" hidden="1" outlineLevel="1">
      <c r="A156" s="317"/>
      <c r="B156" s="79"/>
      <c r="C156" s="12" t="str">
        <f t="shared" si="10"/>
        <v>01004044</v>
      </c>
      <c r="D156" s="12" t="s">
        <v>449</v>
      </c>
      <c r="E156" s="244" t="s">
        <v>38</v>
      </c>
      <c r="F156" s="245"/>
      <c r="G156" s="245"/>
      <c r="H156" s="245"/>
      <c r="I156" s="245"/>
      <c r="J156" s="245"/>
      <c r="K156" s="245"/>
      <c r="L156" s="245"/>
      <c r="M156" s="245"/>
      <c r="N156" s="245"/>
      <c r="O156" s="245"/>
      <c r="P156" s="245"/>
      <c r="Q156" s="245"/>
      <c r="R156" s="245"/>
      <c r="S156" s="245"/>
      <c r="T156" s="246"/>
      <c r="U156" s="217" t="s">
        <v>15</v>
      </c>
      <c r="V156" s="218"/>
      <c r="W156" s="218"/>
      <c r="X156" s="218"/>
      <c r="Y156" s="219"/>
      <c r="Z156" s="16" t="s">
        <v>42</v>
      </c>
      <c r="AA156" s="16" t="s">
        <v>43</v>
      </c>
      <c r="AB156" s="12" t="s">
        <v>44</v>
      </c>
      <c r="AC156" s="37" t="s">
        <v>45</v>
      </c>
      <c r="AD156" s="50" t="s">
        <v>46</v>
      </c>
      <c r="AE156" s="16" t="s">
        <v>47</v>
      </c>
      <c r="AF156" s="13" t="s">
        <v>15</v>
      </c>
      <c r="AG156" s="12" t="s">
        <v>48</v>
      </c>
      <c r="AH156" s="12" t="s">
        <v>49</v>
      </c>
      <c r="AI156" s="39" t="s">
        <v>50</v>
      </c>
      <c r="AJ156" s="38" t="s">
        <v>51</v>
      </c>
    </row>
    <row r="157" spans="1:36" hidden="1" outlineLevel="1">
      <c r="A157" s="317"/>
      <c r="B157" s="79"/>
      <c r="C157" s="12" t="str">
        <f t="shared" si="10"/>
        <v>01004048</v>
      </c>
      <c r="D157" s="59" t="s">
        <v>450</v>
      </c>
      <c r="E157" s="116" t="s">
        <v>451</v>
      </c>
      <c r="F157" s="247"/>
      <c r="G157" s="247"/>
      <c r="H157" s="247"/>
      <c r="I157" s="247"/>
      <c r="J157" s="247"/>
      <c r="K157" s="247"/>
      <c r="L157" s="247"/>
      <c r="M157" s="247"/>
      <c r="N157" s="247"/>
      <c r="O157" s="247"/>
      <c r="P157" s="247"/>
      <c r="Q157" s="247"/>
      <c r="R157" s="247"/>
      <c r="S157" s="247"/>
      <c r="T157" s="248"/>
      <c r="U157" s="217" t="s">
        <v>15</v>
      </c>
      <c r="V157" s="218"/>
      <c r="W157" s="218"/>
      <c r="X157" s="218"/>
      <c r="Y157" s="218"/>
      <c r="Z157" s="218"/>
      <c r="AA157" s="218"/>
      <c r="AB157" s="218"/>
      <c r="AC157" s="218"/>
      <c r="AD157" s="218"/>
      <c r="AE157" s="218"/>
      <c r="AF157" s="218"/>
      <c r="AG157" s="218"/>
      <c r="AH157" s="218"/>
      <c r="AI157" s="218"/>
      <c r="AJ157" s="249"/>
    </row>
    <row r="158" spans="1:36" hidden="1" outlineLevel="1">
      <c r="A158" s="317"/>
      <c r="B158" s="79"/>
      <c r="C158" s="12" t="str">
        <f t="shared" si="10"/>
        <v>0100404C</v>
      </c>
      <c r="D158" s="14" t="s">
        <v>15</v>
      </c>
      <c r="E158" s="231" t="s">
        <v>15</v>
      </c>
      <c r="F158" s="232"/>
      <c r="G158" s="232"/>
      <c r="H158" s="232"/>
      <c r="I158" s="232"/>
      <c r="J158" s="232"/>
      <c r="K158" s="232"/>
      <c r="L158" s="232"/>
      <c r="M158" s="232"/>
      <c r="N158" s="232"/>
      <c r="O158" s="232"/>
      <c r="P158" s="232"/>
      <c r="Q158" s="232"/>
      <c r="R158" s="232"/>
      <c r="S158" s="232"/>
      <c r="T158" s="232"/>
      <c r="U158" s="232"/>
      <c r="V158" s="232"/>
      <c r="W158" s="232"/>
      <c r="X158" s="232"/>
      <c r="Y158" s="232"/>
      <c r="Z158" s="232"/>
      <c r="AA158" s="232"/>
      <c r="AB158" s="232"/>
      <c r="AC158" s="232"/>
      <c r="AD158" s="232"/>
      <c r="AE158" s="232"/>
      <c r="AF158" s="232"/>
      <c r="AG158" s="232"/>
      <c r="AH158" s="232"/>
      <c r="AI158" s="232"/>
      <c r="AJ158" s="233"/>
    </row>
    <row r="159" spans="1:36" hidden="1" outlineLevel="1">
      <c r="A159" s="317"/>
      <c r="B159" s="109" t="str">
        <f t="shared" ref="B159" si="13">DEC2HEX(HEX2DEC(B155) + 1)</f>
        <v>100405</v>
      </c>
      <c r="C159" s="12" t="str">
        <f t="shared" si="10"/>
        <v>01004050</v>
      </c>
      <c r="D159" s="61" t="s">
        <v>452</v>
      </c>
      <c r="E159" s="113" t="s">
        <v>15</v>
      </c>
      <c r="F159" s="115"/>
      <c r="G159" s="254" t="s">
        <v>453</v>
      </c>
      <c r="H159" s="271"/>
      <c r="I159" s="254" t="s">
        <v>454</v>
      </c>
      <c r="J159" s="266"/>
      <c r="K159" s="254" t="s">
        <v>455</v>
      </c>
      <c r="L159" s="266"/>
      <c r="M159" s="254" t="s">
        <v>456</v>
      </c>
      <c r="N159" s="266"/>
      <c r="O159" s="254" t="s">
        <v>457</v>
      </c>
      <c r="P159" s="266"/>
      <c r="Q159" s="254" t="s">
        <v>458</v>
      </c>
      <c r="R159" s="266"/>
      <c r="S159" s="254" t="s">
        <v>459</v>
      </c>
      <c r="T159" s="266"/>
      <c r="U159" s="149" t="s">
        <v>460</v>
      </c>
      <c r="V159" s="151"/>
      <c r="W159" s="207" t="s">
        <v>461</v>
      </c>
      <c r="X159" s="209"/>
      <c r="Y159" s="254" t="s">
        <v>462</v>
      </c>
      <c r="Z159" s="256"/>
      <c r="AA159" s="239" t="s">
        <v>463</v>
      </c>
      <c r="AB159" s="262"/>
      <c r="AC159" s="263" t="s">
        <v>15</v>
      </c>
      <c r="AD159" s="114"/>
      <c r="AE159" s="264"/>
      <c r="AF159" s="265" t="s">
        <v>464</v>
      </c>
      <c r="AG159" s="266"/>
      <c r="AH159" s="13" t="s">
        <v>15</v>
      </c>
      <c r="AI159" s="254" t="s">
        <v>465</v>
      </c>
      <c r="AJ159" s="256"/>
    </row>
    <row r="160" spans="1:36" hidden="1" outlineLevel="1">
      <c r="A160" s="317"/>
      <c r="B160" s="79"/>
      <c r="C160" s="12" t="str">
        <f t="shared" si="10"/>
        <v>01004054</v>
      </c>
      <c r="D160" s="12" t="s">
        <v>466</v>
      </c>
      <c r="E160" s="161" t="s">
        <v>467</v>
      </c>
      <c r="F160" s="163"/>
      <c r="G160" s="161" t="s">
        <v>468</v>
      </c>
      <c r="H160" s="163"/>
      <c r="I160" s="257" t="s">
        <v>469</v>
      </c>
      <c r="J160" s="258"/>
      <c r="K160" s="257" t="s">
        <v>470</v>
      </c>
      <c r="L160" s="258"/>
      <c r="M160" s="259" t="s">
        <v>471</v>
      </c>
      <c r="N160" s="260"/>
      <c r="O160" s="259" t="s">
        <v>472</v>
      </c>
      <c r="P160" s="260"/>
      <c r="Q160" s="259" t="s">
        <v>473</v>
      </c>
      <c r="R160" s="260"/>
      <c r="S160" s="259" t="s">
        <v>474</v>
      </c>
      <c r="T160" s="260"/>
      <c r="U160" s="13" t="s">
        <v>15</v>
      </c>
      <c r="V160" s="47" t="s">
        <v>475</v>
      </c>
      <c r="W160" s="48" t="s">
        <v>476</v>
      </c>
      <c r="X160" s="48" t="s">
        <v>477</v>
      </c>
      <c r="Y160" s="210" t="s">
        <v>478</v>
      </c>
      <c r="Z160" s="211"/>
      <c r="AA160" s="261"/>
      <c r="AB160" s="267" t="s">
        <v>479</v>
      </c>
      <c r="AC160" s="211"/>
      <c r="AD160" s="261"/>
      <c r="AE160" s="267" t="s">
        <v>480</v>
      </c>
      <c r="AF160" s="211"/>
      <c r="AG160" s="261"/>
      <c r="AH160" s="267" t="s">
        <v>481</v>
      </c>
      <c r="AI160" s="211"/>
      <c r="AJ160" s="261"/>
    </row>
    <row r="161" spans="1:36" ht="16.149999999999999" hidden="1" customHeight="1" outlineLevel="1">
      <c r="A161" s="317"/>
      <c r="B161" s="79"/>
      <c r="C161" s="12" t="str">
        <f t="shared" si="10"/>
        <v>01004058</v>
      </c>
      <c r="D161" s="12" t="s">
        <v>15</v>
      </c>
      <c r="E161" s="234" t="s">
        <v>15</v>
      </c>
      <c r="F161" s="272"/>
      <c r="G161" s="272"/>
      <c r="H161" s="272"/>
      <c r="I161" s="272"/>
      <c r="J161" s="272"/>
      <c r="K161" s="272"/>
      <c r="L161" s="272"/>
      <c r="M161" s="272"/>
      <c r="N161" s="272"/>
      <c r="O161" s="272"/>
      <c r="P161" s="272"/>
      <c r="Q161" s="272"/>
      <c r="R161" s="272"/>
      <c r="S161" s="272"/>
      <c r="T161" s="272"/>
      <c r="U161" s="272"/>
      <c r="V161" s="272"/>
      <c r="W161" s="272"/>
      <c r="X161" s="272"/>
      <c r="Y161" s="272"/>
      <c r="Z161" s="272"/>
      <c r="AA161" s="272"/>
      <c r="AB161" s="272"/>
      <c r="AC161" s="272"/>
      <c r="AD161" s="272"/>
      <c r="AE161" s="272"/>
      <c r="AF161" s="272"/>
      <c r="AG161" s="272"/>
      <c r="AH161" s="272"/>
      <c r="AI161" s="272"/>
      <c r="AJ161" s="235"/>
    </row>
    <row r="162" spans="1:36" hidden="1" outlineLevel="1">
      <c r="A162" s="317"/>
      <c r="B162" s="79"/>
      <c r="C162" s="12" t="str">
        <f t="shared" si="10"/>
        <v>0100405C</v>
      </c>
      <c r="D162" s="14" t="s">
        <v>15</v>
      </c>
      <c r="E162" s="113" t="s">
        <v>15</v>
      </c>
      <c r="F162" s="114"/>
      <c r="G162" s="114"/>
      <c r="H162" s="114"/>
      <c r="I162" s="114"/>
      <c r="J162" s="114"/>
      <c r="K162" s="114"/>
      <c r="L162" s="114"/>
      <c r="M162" s="114"/>
      <c r="N162" s="114"/>
      <c r="O162" s="114"/>
      <c r="P162" s="114"/>
      <c r="Q162" s="114"/>
      <c r="R162" s="114"/>
      <c r="S162" s="114"/>
      <c r="T162" s="114"/>
      <c r="U162" s="114"/>
      <c r="V162" s="114"/>
      <c r="W162" s="114"/>
      <c r="X162" s="114"/>
      <c r="Y162" s="114"/>
      <c r="Z162" s="114"/>
      <c r="AA162" s="114"/>
      <c r="AB162" s="114"/>
      <c r="AC162" s="114"/>
      <c r="AD162" s="114"/>
      <c r="AE162" s="114"/>
      <c r="AF162" s="114"/>
      <c r="AG162" s="114"/>
      <c r="AH162" s="114"/>
      <c r="AI162" s="114"/>
      <c r="AJ162" s="115"/>
    </row>
    <row r="163" spans="1:36" hidden="1" outlineLevel="1">
      <c r="A163" s="317"/>
      <c r="B163" s="109" t="str">
        <f t="shared" ref="B163" si="14">DEC2HEX(HEX2DEC(B159) + 1)</f>
        <v>100406</v>
      </c>
      <c r="C163" s="12" t="str">
        <f t="shared" si="10"/>
        <v>01004060</v>
      </c>
      <c r="D163" s="58" t="s">
        <v>482</v>
      </c>
      <c r="E163" s="149" t="s">
        <v>483</v>
      </c>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c r="AB163" s="150"/>
      <c r="AC163" s="150"/>
      <c r="AD163" s="150"/>
      <c r="AE163" s="150"/>
      <c r="AF163" s="150"/>
      <c r="AG163" s="150"/>
      <c r="AH163" s="150"/>
      <c r="AI163" s="150"/>
      <c r="AJ163" s="268"/>
    </row>
    <row r="164" spans="1:36" hidden="1" outlineLevel="1">
      <c r="A164" s="317"/>
      <c r="B164" s="79"/>
      <c r="C164" s="12" t="str">
        <f t="shared" si="10"/>
        <v>01004064</v>
      </c>
      <c r="D164" s="58" t="s">
        <v>484</v>
      </c>
      <c r="E164" s="185" t="s">
        <v>485</v>
      </c>
      <c r="F164" s="186"/>
      <c r="G164" s="186"/>
      <c r="H164" s="186"/>
      <c r="I164" s="186"/>
      <c r="J164" s="186"/>
      <c r="K164" s="186"/>
      <c r="L164" s="186"/>
      <c r="M164" s="186"/>
      <c r="N164" s="186"/>
      <c r="O164" s="186"/>
      <c r="P164" s="186"/>
      <c r="Q164" s="186"/>
      <c r="R164" s="186"/>
      <c r="S164" s="186"/>
      <c r="T164" s="186"/>
      <c r="U164" s="186"/>
      <c r="V164" s="186"/>
      <c r="W164" s="186"/>
      <c r="X164" s="186"/>
      <c r="Y164" s="186"/>
      <c r="Z164" s="186"/>
      <c r="AA164" s="186"/>
      <c r="AB164" s="186"/>
      <c r="AC164" s="186"/>
      <c r="AD164" s="186"/>
      <c r="AE164" s="186"/>
      <c r="AF164" s="186"/>
      <c r="AG164" s="186"/>
      <c r="AH164" s="186"/>
      <c r="AI164" s="186"/>
      <c r="AJ164" s="269"/>
    </row>
    <row r="165" spans="1:36" hidden="1" outlineLevel="1">
      <c r="A165" s="317"/>
      <c r="B165" s="79"/>
      <c r="C165" s="12" t="str">
        <f t="shared" si="10"/>
        <v>01004068</v>
      </c>
      <c r="D165" s="62" t="s">
        <v>486</v>
      </c>
      <c r="E165" s="270" t="s">
        <v>487</v>
      </c>
      <c r="F165" s="270"/>
      <c r="G165" s="270"/>
      <c r="H165" s="270"/>
      <c r="I165" s="270"/>
      <c r="J165" s="270"/>
      <c r="K165" s="270"/>
      <c r="L165" s="270"/>
      <c r="M165" s="270"/>
      <c r="N165" s="270"/>
      <c r="O165" s="270"/>
      <c r="P165" s="270"/>
      <c r="Q165" s="270"/>
      <c r="R165" s="270"/>
      <c r="S165" s="270"/>
      <c r="T165" s="270"/>
      <c r="U165" s="270"/>
      <c r="V165" s="270"/>
      <c r="W165" s="270"/>
      <c r="X165" s="270"/>
      <c r="Y165" s="270"/>
      <c r="Z165" s="270"/>
      <c r="AA165" s="270"/>
      <c r="AB165" s="270"/>
      <c r="AC165" s="270"/>
      <c r="AD165" s="270"/>
      <c r="AE165" s="270"/>
      <c r="AF165" s="270"/>
      <c r="AG165" s="270"/>
      <c r="AH165" s="270"/>
      <c r="AI165" s="270"/>
      <c r="AJ165" s="270"/>
    </row>
    <row r="166" spans="1:36" hidden="1" outlineLevel="1">
      <c r="A166" s="317"/>
      <c r="B166" s="79"/>
      <c r="C166" s="12" t="str">
        <f t="shared" si="10"/>
        <v>0100406C</v>
      </c>
      <c r="D166" s="63" t="s">
        <v>488</v>
      </c>
      <c r="E166" s="193" t="s">
        <v>489</v>
      </c>
      <c r="F166" s="193"/>
      <c r="G166" s="193"/>
      <c r="H166" s="193"/>
      <c r="I166" s="193"/>
      <c r="J166" s="193"/>
      <c r="K166" s="193"/>
      <c r="L166" s="193"/>
      <c r="M166" s="193"/>
      <c r="N166" s="193"/>
      <c r="O166" s="193"/>
      <c r="P166" s="193"/>
      <c r="Q166" s="193"/>
      <c r="R166" s="193"/>
      <c r="S166" s="193"/>
      <c r="T166" s="193"/>
      <c r="U166" s="193"/>
      <c r="V166" s="193"/>
      <c r="W166" s="193"/>
      <c r="X166" s="193"/>
      <c r="Y166" s="193"/>
      <c r="Z166" s="193"/>
      <c r="AA166" s="193"/>
      <c r="AB166" s="193"/>
      <c r="AC166" s="193"/>
      <c r="AD166" s="193"/>
      <c r="AE166" s="193"/>
      <c r="AF166" s="193"/>
      <c r="AG166" s="193"/>
      <c r="AH166" s="193"/>
      <c r="AI166" s="193"/>
      <c r="AJ166" s="193"/>
    </row>
    <row r="167" spans="1:36" hidden="1" outlineLevel="1">
      <c r="A167" s="317"/>
      <c r="B167" s="109" t="str">
        <f t="shared" ref="B167" si="15">DEC2HEX(HEX2DEC(B163) + 1)</f>
        <v>100407</v>
      </c>
      <c r="C167" s="12" t="str">
        <f t="shared" si="10"/>
        <v>01004070</v>
      </c>
      <c r="D167" s="62" t="s">
        <v>490</v>
      </c>
      <c r="E167" s="273" t="s">
        <v>491</v>
      </c>
      <c r="F167" s="273"/>
      <c r="G167" s="273"/>
      <c r="H167" s="273"/>
      <c r="I167" s="273"/>
      <c r="J167" s="273"/>
      <c r="K167" s="273"/>
      <c r="L167" s="273"/>
      <c r="M167" s="273"/>
      <c r="N167" s="273"/>
      <c r="O167" s="273"/>
      <c r="P167" s="273"/>
      <c r="Q167" s="273"/>
      <c r="R167" s="273"/>
      <c r="S167" s="273"/>
      <c r="T167" s="273"/>
      <c r="U167" s="273"/>
      <c r="V167" s="273"/>
      <c r="W167" s="273"/>
      <c r="X167" s="273"/>
      <c r="Y167" s="273"/>
      <c r="Z167" s="273"/>
      <c r="AA167" s="273"/>
      <c r="AB167" s="273"/>
      <c r="AC167" s="273"/>
      <c r="AD167" s="273"/>
      <c r="AE167" s="273"/>
      <c r="AF167" s="273"/>
      <c r="AG167" s="273"/>
      <c r="AH167" s="273"/>
      <c r="AI167" s="273"/>
      <c r="AJ167" s="273"/>
    </row>
    <row r="168" spans="1:36" hidden="1" outlineLevel="1">
      <c r="A168" s="317"/>
      <c r="B168" s="79"/>
      <c r="C168" s="12" t="str">
        <f t="shared" si="10"/>
        <v>01004074</v>
      </c>
      <c r="D168" s="62" t="s">
        <v>492</v>
      </c>
      <c r="E168" s="273" t="s">
        <v>493</v>
      </c>
      <c r="F168" s="273"/>
      <c r="G168" s="273"/>
      <c r="H168" s="273"/>
      <c r="I168" s="273"/>
      <c r="J168" s="273"/>
      <c r="K168" s="273"/>
      <c r="L168" s="273"/>
      <c r="M168" s="273"/>
      <c r="N168" s="273"/>
      <c r="O168" s="273"/>
      <c r="P168" s="273"/>
      <c r="Q168" s="273"/>
      <c r="R168" s="273"/>
      <c r="S168" s="273"/>
      <c r="T168" s="273"/>
      <c r="U168" s="273"/>
      <c r="V168" s="273"/>
      <c r="W168" s="273"/>
      <c r="X168" s="273"/>
      <c r="Y168" s="273"/>
      <c r="Z168" s="273"/>
      <c r="AA168" s="273"/>
      <c r="AB168" s="273"/>
      <c r="AC168" s="273"/>
      <c r="AD168" s="273"/>
      <c r="AE168" s="273"/>
      <c r="AF168" s="273"/>
      <c r="AG168" s="273"/>
      <c r="AH168" s="273"/>
      <c r="AI168" s="273"/>
      <c r="AJ168" s="273"/>
    </row>
    <row r="169" spans="1:36" hidden="1" outlineLevel="1">
      <c r="A169" s="317"/>
      <c r="B169" s="79"/>
      <c r="C169" s="12" t="str">
        <f t="shared" si="10"/>
        <v>01004078</v>
      </c>
      <c r="D169" s="58" t="s">
        <v>494</v>
      </c>
      <c r="E169" s="274" t="s">
        <v>495</v>
      </c>
      <c r="F169" s="275"/>
      <c r="G169" s="275"/>
      <c r="H169" s="275"/>
      <c r="I169" s="275"/>
      <c r="J169" s="275"/>
      <c r="K169" s="275"/>
      <c r="L169" s="275"/>
      <c r="M169" s="275"/>
      <c r="N169" s="275"/>
      <c r="O169" s="275"/>
      <c r="P169" s="275"/>
      <c r="Q169" s="275"/>
      <c r="R169" s="275"/>
      <c r="S169" s="275"/>
      <c r="T169" s="275"/>
      <c r="U169" s="275"/>
      <c r="V169" s="275"/>
      <c r="W169" s="275"/>
      <c r="X169" s="275"/>
      <c r="Y169" s="275"/>
      <c r="Z169" s="275"/>
      <c r="AA169" s="275"/>
      <c r="AB169" s="275"/>
      <c r="AC169" s="275"/>
      <c r="AD169" s="275"/>
      <c r="AE169" s="275"/>
      <c r="AF169" s="275"/>
      <c r="AG169" s="275"/>
      <c r="AH169" s="275"/>
      <c r="AI169" s="275"/>
      <c r="AJ169" s="276"/>
    </row>
    <row r="170" spans="1:36" hidden="1" outlineLevel="1">
      <c r="A170" s="317"/>
      <c r="B170" s="79"/>
      <c r="C170" s="12" t="str">
        <f t="shared" si="10"/>
        <v>0100407C</v>
      </c>
      <c r="D170" s="14" t="s">
        <v>496</v>
      </c>
      <c r="E170" s="277" t="s">
        <v>497</v>
      </c>
      <c r="F170" s="278"/>
      <c r="G170" s="278"/>
      <c r="H170" s="278"/>
      <c r="I170" s="278"/>
      <c r="J170" s="278"/>
      <c r="K170" s="278"/>
      <c r="L170" s="278"/>
      <c r="M170" s="278"/>
      <c r="N170" s="278"/>
      <c r="O170" s="278"/>
      <c r="P170" s="278"/>
      <c r="Q170" s="278"/>
      <c r="R170" s="278"/>
      <c r="S170" s="278"/>
      <c r="T170" s="278"/>
      <c r="U170" s="278"/>
      <c r="V170" s="278"/>
      <c r="W170" s="278"/>
      <c r="X170" s="278"/>
      <c r="Y170" s="278"/>
      <c r="Z170" s="278"/>
      <c r="AA170" s="278"/>
      <c r="AB170" s="278"/>
      <c r="AC170" s="278"/>
      <c r="AD170" s="278"/>
      <c r="AE170" s="278"/>
      <c r="AF170" s="278"/>
      <c r="AG170" s="278"/>
      <c r="AH170" s="278"/>
      <c r="AI170" s="278"/>
      <c r="AJ170" s="279"/>
    </row>
    <row r="171" spans="1:36" hidden="1" outlineLevel="1">
      <c r="A171" s="317"/>
      <c r="B171" s="109" t="str">
        <f t="shared" ref="B171" si="16">DEC2HEX(HEX2DEC(B167) + 1)</f>
        <v>100408</v>
      </c>
      <c r="C171" s="12" t="str">
        <f t="shared" si="10"/>
        <v>01004080</v>
      </c>
      <c r="D171" s="61" t="s">
        <v>498</v>
      </c>
      <c r="E171" s="277" t="s">
        <v>499</v>
      </c>
      <c r="F171" s="278"/>
      <c r="G171" s="278"/>
      <c r="H171" s="278"/>
      <c r="I171" s="278"/>
      <c r="J171" s="278"/>
      <c r="K171" s="278"/>
      <c r="L171" s="278"/>
      <c r="M171" s="278"/>
      <c r="N171" s="278"/>
      <c r="O171" s="278"/>
      <c r="P171" s="278"/>
      <c r="Q171" s="278"/>
      <c r="R171" s="278"/>
      <c r="S171" s="278"/>
      <c r="T171" s="278"/>
      <c r="U171" s="278"/>
      <c r="V171" s="278"/>
      <c r="W171" s="278"/>
      <c r="X171" s="278"/>
      <c r="Y171" s="278"/>
      <c r="Z171" s="278"/>
      <c r="AA171" s="278"/>
      <c r="AB171" s="278"/>
      <c r="AC171" s="278"/>
      <c r="AD171" s="278"/>
      <c r="AE171" s="278"/>
      <c r="AF171" s="278"/>
      <c r="AG171" s="278"/>
      <c r="AH171" s="278"/>
      <c r="AI171" s="278"/>
      <c r="AJ171" s="279"/>
    </row>
    <row r="172" spans="1:36" hidden="1" outlineLevel="1">
      <c r="A172" s="317"/>
      <c r="B172" s="79"/>
      <c r="C172" s="12" t="str">
        <f t="shared" si="10"/>
        <v>01004084</v>
      </c>
      <c r="D172" s="12" t="s">
        <v>500</v>
      </c>
      <c r="E172" s="277" t="s">
        <v>501</v>
      </c>
      <c r="F172" s="278"/>
      <c r="G172" s="278"/>
      <c r="H172" s="278"/>
      <c r="I172" s="278"/>
      <c r="J172" s="278"/>
      <c r="K172" s="278"/>
      <c r="L172" s="278"/>
      <c r="M172" s="278"/>
      <c r="N172" s="278"/>
      <c r="O172" s="278"/>
      <c r="P172" s="278"/>
      <c r="Q172" s="278"/>
      <c r="R172" s="278"/>
      <c r="S172" s="278"/>
      <c r="T172" s="278"/>
      <c r="U172" s="278"/>
      <c r="V172" s="278"/>
      <c r="W172" s="278"/>
      <c r="X172" s="278"/>
      <c r="Y172" s="278"/>
      <c r="Z172" s="278"/>
      <c r="AA172" s="278"/>
      <c r="AB172" s="278"/>
      <c r="AC172" s="278"/>
      <c r="AD172" s="278"/>
      <c r="AE172" s="278"/>
      <c r="AF172" s="278"/>
      <c r="AG172" s="278"/>
      <c r="AH172" s="278"/>
      <c r="AI172" s="278"/>
      <c r="AJ172" s="279"/>
    </row>
    <row r="173" spans="1:36" hidden="1" outlineLevel="1">
      <c r="A173" s="317"/>
      <c r="B173" s="79"/>
      <c r="C173" s="12" t="str">
        <f t="shared" si="10"/>
        <v>01004088</v>
      </c>
      <c r="D173" s="12" t="s">
        <v>502</v>
      </c>
      <c r="E173" s="277" t="s">
        <v>503</v>
      </c>
      <c r="F173" s="278"/>
      <c r="G173" s="278"/>
      <c r="H173" s="278"/>
      <c r="I173" s="278"/>
      <c r="J173" s="278"/>
      <c r="K173" s="278"/>
      <c r="L173" s="278"/>
      <c r="M173" s="278"/>
      <c r="N173" s="278"/>
      <c r="O173" s="278"/>
      <c r="P173" s="278"/>
      <c r="Q173" s="278"/>
      <c r="R173" s="278"/>
      <c r="S173" s="278"/>
      <c r="T173" s="278"/>
      <c r="U173" s="278"/>
      <c r="V173" s="278"/>
      <c r="W173" s="278"/>
      <c r="X173" s="278"/>
      <c r="Y173" s="278"/>
      <c r="Z173" s="278"/>
      <c r="AA173" s="278"/>
      <c r="AB173" s="278"/>
      <c r="AC173" s="278"/>
      <c r="AD173" s="278"/>
      <c r="AE173" s="278"/>
      <c r="AF173" s="278"/>
      <c r="AG173" s="278"/>
      <c r="AH173" s="278"/>
      <c r="AI173" s="278"/>
      <c r="AJ173" s="279"/>
    </row>
    <row r="174" spans="1:36" hidden="1" outlineLevel="1">
      <c r="A174" s="317"/>
      <c r="B174" s="79"/>
      <c r="C174" s="12" t="str">
        <f t="shared" si="10"/>
        <v>0100408C</v>
      </c>
      <c r="D174" s="14" t="s">
        <v>504</v>
      </c>
      <c r="E174" s="277" t="s">
        <v>505</v>
      </c>
      <c r="F174" s="278"/>
      <c r="G174" s="278"/>
      <c r="H174" s="278"/>
      <c r="I174" s="278"/>
      <c r="J174" s="278"/>
      <c r="K174" s="278"/>
      <c r="L174" s="278"/>
      <c r="M174" s="278"/>
      <c r="N174" s="278"/>
      <c r="O174" s="278"/>
      <c r="P174" s="278"/>
      <c r="Q174" s="278"/>
      <c r="R174" s="278"/>
      <c r="S174" s="278"/>
      <c r="T174" s="278"/>
      <c r="U174" s="278"/>
      <c r="V174" s="278"/>
      <c r="W174" s="278"/>
      <c r="X174" s="278"/>
      <c r="Y174" s="278"/>
      <c r="Z174" s="278"/>
      <c r="AA174" s="278"/>
      <c r="AB174" s="278"/>
      <c r="AC174" s="278"/>
      <c r="AD174" s="278"/>
      <c r="AE174" s="278"/>
      <c r="AF174" s="278"/>
      <c r="AG174" s="278"/>
      <c r="AH174" s="278"/>
      <c r="AI174" s="278"/>
      <c r="AJ174" s="279"/>
    </row>
    <row r="175" spans="1:36" hidden="1" outlineLevel="1">
      <c r="A175" s="317"/>
      <c r="B175" s="109" t="str">
        <f>DEC2HEX(HEX2DEC(B171) + 1)</f>
        <v>100409</v>
      </c>
      <c r="C175" s="12" t="str">
        <f t="shared" si="10"/>
        <v>01004090</v>
      </c>
      <c r="D175" s="12" t="s">
        <v>506</v>
      </c>
      <c r="E175" s="254" t="s">
        <v>507</v>
      </c>
      <c r="F175" s="255"/>
      <c r="G175" s="255"/>
      <c r="H175" s="255"/>
      <c r="I175" s="255"/>
      <c r="J175" s="255"/>
      <c r="K175" s="255"/>
      <c r="L175" s="255"/>
      <c r="M175" s="255"/>
      <c r="N175" s="255"/>
      <c r="O175" s="255"/>
      <c r="P175" s="255"/>
      <c r="Q175" s="255"/>
      <c r="R175" s="255"/>
      <c r="S175" s="255"/>
      <c r="T175" s="255"/>
      <c r="U175" s="255"/>
      <c r="V175" s="255"/>
      <c r="W175" s="255"/>
      <c r="X175" s="255"/>
      <c r="Y175" s="255"/>
      <c r="Z175" s="255"/>
      <c r="AA175" s="255"/>
      <c r="AB175" s="255"/>
      <c r="AC175" s="255"/>
      <c r="AD175" s="255"/>
      <c r="AE175" s="255"/>
      <c r="AF175" s="255"/>
      <c r="AG175" s="255"/>
      <c r="AH175" s="255"/>
      <c r="AI175" s="255"/>
      <c r="AJ175" s="280"/>
    </row>
    <row r="176" spans="1:36" hidden="1" outlineLevel="1">
      <c r="A176" s="317"/>
      <c r="B176" s="79"/>
      <c r="C176" s="12" t="str">
        <f t="shared" si="10"/>
        <v>01004094</v>
      </c>
      <c r="D176" s="12" t="s">
        <v>508</v>
      </c>
      <c r="E176" s="254" t="s">
        <v>509</v>
      </c>
      <c r="F176" s="255"/>
      <c r="G176" s="255"/>
      <c r="H176" s="255"/>
      <c r="I176" s="255"/>
      <c r="J176" s="255"/>
      <c r="K176" s="255"/>
      <c r="L176" s="255"/>
      <c r="M176" s="255"/>
      <c r="N176" s="255"/>
      <c r="O176" s="255"/>
      <c r="P176" s="255"/>
      <c r="Q176" s="255"/>
      <c r="R176" s="255"/>
      <c r="S176" s="255"/>
      <c r="T176" s="255"/>
      <c r="U176" s="255"/>
      <c r="V176" s="255"/>
      <c r="W176" s="255"/>
      <c r="X176" s="255"/>
      <c r="Y176" s="255"/>
      <c r="Z176" s="255"/>
      <c r="AA176" s="255"/>
      <c r="AB176" s="255"/>
      <c r="AC176" s="255"/>
      <c r="AD176" s="255"/>
      <c r="AE176" s="255"/>
      <c r="AF176" s="255"/>
      <c r="AG176" s="255"/>
      <c r="AH176" s="255"/>
      <c r="AI176" s="255"/>
      <c r="AJ176" s="280"/>
    </row>
    <row r="177" spans="1:36" hidden="1" outlineLevel="1">
      <c r="A177" s="317"/>
      <c r="B177" s="79"/>
      <c r="C177" s="12" t="str">
        <f t="shared" si="10"/>
        <v>01004098</v>
      </c>
      <c r="D177" s="12" t="s">
        <v>510</v>
      </c>
      <c r="E177" s="254" t="s">
        <v>511</v>
      </c>
      <c r="F177" s="255"/>
      <c r="G177" s="255"/>
      <c r="H177" s="255"/>
      <c r="I177" s="255"/>
      <c r="J177" s="255"/>
      <c r="K177" s="255"/>
      <c r="L177" s="255"/>
      <c r="M177" s="255"/>
      <c r="N177" s="255"/>
      <c r="O177" s="255"/>
      <c r="P177" s="255"/>
      <c r="Q177" s="255"/>
      <c r="R177" s="255"/>
      <c r="S177" s="255"/>
      <c r="T177" s="255"/>
      <c r="U177" s="255"/>
      <c r="V177" s="255"/>
      <c r="W177" s="255"/>
      <c r="X177" s="255"/>
      <c r="Y177" s="255"/>
      <c r="Z177" s="255"/>
      <c r="AA177" s="255"/>
      <c r="AB177" s="255"/>
      <c r="AC177" s="255"/>
      <c r="AD177" s="255"/>
      <c r="AE177" s="255"/>
      <c r="AF177" s="255"/>
      <c r="AG177" s="255"/>
      <c r="AH177" s="255"/>
      <c r="AI177" s="255"/>
      <c r="AJ177" s="280"/>
    </row>
    <row r="178" spans="1:36" hidden="1" outlineLevel="1">
      <c r="A178" s="317"/>
      <c r="B178" s="79"/>
      <c r="C178" s="12" t="str">
        <f t="shared" si="10"/>
        <v>0100409C</v>
      </c>
      <c r="D178" s="12" t="s">
        <v>512</v>
      </c>
      <c r="E178" s="254" t="s">
        <v>513</v>
      </c>
      <c r="F178" s="255"/>
      <c r="G178" s="255"/>
      <c r="H178" s="255"/>
      <c r="I178" s="255"/>
      <c r="J178" s="255"/>
      <c r="K178" s="255"/>
      <c r="L178" s="255"/>
      <c r="M178" s="255"/>
      <c r="N178" s="255"/>
      <c r="O178" s="255"/>
      <c r="P178" s="255"/>
      <c r="Q178" s="255"/>
      <c r="R178" s="255"/>
      <c r="S178" s="255"/>
      <c r="T178" s="255"/>
      <c r="U178" s="255"/>
      <c r="V178" s="255"/>
      <c r="W178" s="255"/>
      <c r="X178" s="255"/>
      <c r="Y178" s="255"/>
      <c r="Z178" s="255"/>
      <c r="AA178" s="255"/>
      <c r="AB178" s="255"/>
      <c r="AC178" s="255"/>
      <c r="AD178" s="255"/>
      <c r="AE178" s="255"/>
      <c r="AF178" s="255"/>
      <c r="AG178" s="255"/>
      <c r="AH178" s="255"/>
      <c r="AI178" s="255"/>
      <c r="AJ178" s="280"/>
    </row>
    <row r="179" spans="1:36" hidden="1" outlineLevel="1">
      <c r="A179" s="317"/>
      <c r="B179" s="109" t="str">
        <f>DEC2HEX(HEX2DEC(B175) + 1)</f>
        <v>10040A</v>
      </c>
      <c r="C179" s="12" t="str">
        <f t="shared" si="10"/>
        <v>010040A0</v>
      </c>
      <c r="D179" s="12" t="s">
        <v>514</v>
      </c>
      <c r="E179" s="281" t="s">
        <v>515</v>
      </c>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3"/>
      <c r="AD179" s="283"/>
      <c r="AE179" s="283"/>
      <c r="AF179" s="283"/>
      <c r="AG179" s="283"/>
      <c r="AH179" s="283"/>
      <c r="AI179" s="283"/>
      <c r="AJ179" s="284"/>
    </row>
    <row r="180" spans="1:36" hidden="1" outlineLevel="1">
      <c r="A180" s="317"/>
      <c r="B180" s="79"/>
      <c r="C180" s="12" t="str">
        <f t="shared" si="10"/>
        <v>010040A4</v>
      </c>
      <c r="D180" s="12" t="s">
        <v>516</v>
      </c>
      <c r="E180" s="254" t="s">
        <v>517</v>
      </c>
      <c r="F180" s="255"/>
      <c r="G180" s="255"/>
      <c r="H180" s="255"/>
      <c r="I180" s="255"/>
      <c r="J180" s="255"/>
      <c r="K180" s="255"/>
      <c r="L180" s="255"/>
      <c r="M180" s="255"/>
      <c r="N180" s="255"/>
      <c r="O180" s="255"/>
      <c r="P180" s="255"/>
      <c r="Q180" s="255"/>
      <c r="R180" s="255"/>
      <c r="S180" s="255"/>
      <c r="T180" s="255"/>
      <c r="U180" s="255"/>
      <c r="V180" s="255"/>
      <c r="W180" s="255"/>
      <c r="X180" s="255"/>
      <c r="Y180" s="255"/>
      <c r="Z180" s="255"/>
      <c r="AA180" s="255"/>
      <c r="AB180" s="255"/>
      <c r="AC180" s="255"/>
      <c r="AD180" s="255"/>
      <c r="AE180" s="255"/>
      <c r="AF180" s="255"/>
      <c r="AG180" s="255"/>
      <c r="AH180" s="255"/>
      <c r="AI180" s="255"/>
      <c r="AJ180" s="280"/>
    </row>
    <row r="181" spans="1:36" hidden="1" outlineLevel="1">
      <c r="A181" s="317"/>
      <c r="B181" s="79"/>
      <c r="C181" s="12" t="str">
        <f t="shared" si="10"/>
        <v>010040A8</v>
      </c>
      <c r="D181" s="12" t="s">
        <v>518</v>
      </c>
      <c r="E181" s="285" t="s">
        <v>519</v>
      </c>
      <c r="F181" s="286"/>
      <c r="G181" s="286"/>
      <c r="H181" s="286"/>
      <c r="I181" s="286"/>
      <c r="J181" s="286"/>
      <c r="K181" s="286"/>
      <c r="L181" s="286"/>
      <c r="M181" s="286"/>
      <c r="N181" s="286"/>
      <c r="O181" s="286"/>
      <c r="P181" s="286"/>
      <c r="Q181" s="286"/>
      <c r="R181" s="286"/>
      <c r="S181" s="286"/>
      <c r="T181" s="286"/>
      <c r="U181" s="286"/>
      <c r="V181" s="286"/>
      <c r="W181" s="286"/>
      <c r="X181" s="286"/>
      <c r="Y181" s="286"/>
      <c r="Z181" s="286"/>
      <c r="AA181" s="286"/>
      <c r="AB181" s="286"/>
      <c r="AC181" s="287"/>
      <c r="AD181" s="287"/>
      <c r="AE181" s="287"/>
      <c r="AF181" s="287"/>
      <c r="AG181" s="287"/>
      <c r="AH181" s="287"/>
      <c r="AI181" s="287"/>
      <c r="AJ181" s="288"/>
    </row>
    <row r="182" spans="1:36" hidden="1" outlineLevel="1">
      <c r="A182" s="317"/>
      <c r="B182" s="79"/>
      <c r="C182" s="12" t="str">
        <f t="shared" si="10"/>
        <v>010040AC</v>
      </c>
      <c r="D182" s="12" t="s">
        <v>520</v>
      </c>
      <c r="E182" s="254" t="s">
        <v>521</v>
      </c>
      <c r="F182" s="255"/>
      <c r="G182" s="255"/>
      <c r="H182" s="255"/>
      <c r="I182" s="255"/>
      <c r="J182" s="255"/>
      <c r="K182" s="255"/>
      <c r="L182" s="255"/>
      <c r="M182" s="255"/>
      <c r="N182" s="255"/>
      <c r="O182" s="255"/>
      <c r="P182" s="255"/>
      <c r="Q182" s="255"/>
      <c r="R182" s="255"/>
      <c r="S182" s="255"/>
      <c r="T182" s="255"/>
      <c r="U182" s="255"/>
      <c r="V182" s="255"/>
      <c r="W182" s="255"/>
      <c r="X182" s="255"/>
      <c r="Y182" s="255"/>
      <c r="Z182" s="255"/>
      <c r="AA182" s="255"/>
      <c r="AB182" s="255"/>
      <c r="AC182" s="255"/>
      <c r="AD182" s="255"/>
      <c r="AE182" s="255"/>
      <c r="AF182" s="255"/>
      <c r="AG182" s="255"/>
      <c r="AH182" s="255"/>
      <c r="AI182" s="255"/>
      <c r="AJ182" s="280"/>
    </row>
    <row r="183" spans="1:36" ht="16.149999999999999" hidden="1" customHeight="1" outlineLevel="1">
      <c r="A183" s="317"/>
      <c r="B183" s="109" t="str">
        <f>DEC2HEX(HEX2DEC(B179) + 1)</f>
        <v>10040B</v>
      </c>
      <c r="C183" s="12" t="str">
        <f t="shared" si="10"/>
        <v>010040B0</v>
      </c>
      <c r="D183" s="12" t="s">
        <v>522</v>
      </c>
      <c r="E183" s="210" t="s">
        <v>523</v>
      </c>
      <c r="F183" s="211"/>
      <c r="G183" s="211"/>
      <c r="H183" s="211"/>
      <c r="I183" s="211"/>
      <c r="J183" s="211"/>
      <c r="K183" s="211"/>
      <c r="L183" s="211"/>
      <c r="M183" s="211"/>
      <c r="N183" s="211"/>
      <c r="O183" s="211"/>
      <c r="P183" s="211"/>
      <c r="Q183" s="211"/>
      <c r="R183" s="211"/>
      <c r="S183" s="211"/>
      <c r="T183" s="211"/>
      <c r="U183" s="211"/>
      <c r="V183" s="211"/>
      <c r="W183" s="211"/>
      <c r="X183" s="211"/>
      <c r="Y183" s="211"/>
      <c r="Z183" s="211"/>
      <c r="AA183" s="211"/>
      <c r="AB183" s="212"/>
      <c r="AC183" s="205" t="s">
        <v>15</v>
      </c>
      <c r="AD183" s="228"/>
      <c r="AE183" s="228"/>
      <c r="AF183" s="228"/>
      <c r="AG183" s="228"/>
      <c r="AH183" s="206"/>
      <c r="AI183" s="53" t="s">
        <v>524</v>
      </c>
      <c r="AJ183" s="54" t="s">
        <v>525</v>
      </c>
    </row>
    <row r="184" spans="1:36" hidden="1" outlineLevel="1">
      <c r="A184" s="317"/>
      <c r="B184" s="79"/>
      <c r="C184" s="12" t="str">
        <f t="shared" si="10"/>
        <v>010040B4</v>
      </c>
      <c r="D184" s="12" t="s">
        <v>526</v>
      </c>
      <c r="E184" s="210" t="s">
        <v>527</v>
      </c>
      <c r="F184" s="211"/>
      <c r="G184" s="211"/>
      <c r="H184" s="211"/>
      <c r="I184" s="211"/>
      <c r="J184" s="211"/>
      <c r="K184" s="211"/>
      <c r="L184" s="211"/>
      <c r="M184" s="211"/>
      <c r="N184" s="211"/>
      <c r="O184" s="211"/>
      <c r="P184" s="211"/>
      <c r="Q184" s="211"/>
      <c r="R184" s="211"/>
      <c r="S184" s="211"/>
      <c r="T184" s="211"/>
      <c r="U184" s="211"/>
      <c r="V184" s="211"/>
      <c r="W184" s="211"/>
      <c r="X184" s="211"/>
      <c r="Y184" s="211"/>
      <c r="Z184" s="211"/>
      <c r="AA184" s="211"/>
      <c r="AB184" s="212"/>
      <c r="AC184" s="205" t="s">
        <v>15</v>
      </c>
      <c r="AD184" s="228"/>
      <c r="AE184" s="228"/>
      <c r="AF184" s="228"/>
      <c r="AG184" s="228"/>
      <c r="AH184" s="206"/>
      <c r="AI184" s="257" t="s">
        <v>528</v>
      </c>
      <c r="AJ184" s="258"/>
    </row>
    <row r="185" spans="1:36" hidden="1" outlineLevel="1">
      <c r="A185" s="317"/>
      <c r="B185" s="79"/>
      <c r="C185" s="12" t="str">
        <f t="shared" si="10"/>
        <v>010040B8</v>
      </c>
      <c r="D185" s="12" t="s">
        <v>529</v>
      </c>
      <c r="E185" s="210" t="s">
        <v>530</v>
      </c>
      <c r="F185" s="211"/>
      <c r="G185" s="211"/>
      <c r="H185" s="211"/>
      <c r="I185" s="211"/>
      <c r="J185" s="211"/>
      <c r="K185" s="211"/>
      <c r="L185" s="211"/>
      <c r="M185" s="211"/>
      <c r="N185" s="211"/>
      <c r="O185" s="211"/>
      <c r="P185" s="211"/>
      <c r="Q185" s="211"/>
      <c r="R185" s="211"/>
      <c r="S185" s="211"/>
      <c r="T185" s="211"/>
      <c r="U185" s="211"/>
      <c r="V185" s="211"/>
      <c r="W185" s="211"/>
      <c r="X185" s="211"/>
      <c r="Y185" s="211"/>
      <c r="Z185" s="211"/>
      <c r="AA185" s="211"/>
      <c r="AB185" s="212"/>
      <c r="AC185" s="205" t="s">
        <v>15</v>
      </c>
      <c r="AD185" s="228"/>
      <c r="AE185" s="228"/>
      <c r="AF185" s="228"/>
      <c r="AG185" s="228"/>
      <c r="AH185" s="206"/>
      <c r="AI185" s="53" t="s">
        <v>524</v>
      </c>
      <c r="AJ185" s="54" t="s">
        <v>525</v>
      </c>
    </row>
    <row r="186" spans="1:36" hidden="1" outlineLevel="1">
      <c r="A186" s="317"/>
      <c r="B186" s="79"/>
      <c r="C186" s="12" t="str">
        <f t="shared" si="10"/>
        <v>010040BC</v>
      </c>
      <c r="D186" s="12" t="s">
        <v>531</v>
      </c>
      <c r="E186" s="210" t="s">
        <v>532</v>
      </c>
      <c r="F186" s="211"/>
      <c r="G186" s="211"/>
      <c r="H186" s="211"/>
      <c r="I186" s="211"/>
      <c r="J186" s="211"/>
      <c r="K186" s="211"/>
      <c r="L186" s="211"/>
      <c r="M186" s="211"/>
      <c r="N186" s="211"/>
      <c r="O186" s="211"/>
      <c r="P186" s="211"/>
      <c r="Q186" s="211"/>
      <c r="R186" s="211"/>
      <c r="S186" s="211"/>
      <c r="T186" s="211"/>
      <c r="U186" s="211"/>
      <c r="V186" s="211"/>
      <c r="W186" s="211"/>
      <c r="X186" s="211"/>
      <c r="Y186" s="211"/>
      <c r="Z186" s="211"/>
      <c r="AA186" s="211"/>
      <c r="AB186" s="212"/>
      <c r="AC186" s="205" t="s">
        <v>15</v>
      </c>
      <c r="AD186" s="228"/>
      <c r="AE186" s="228"/>
      <c r="AF186" s="228"/>
      <c r="AG186" s="228"/>
      <c r="AH186" s="206"/>
      <c r="AI186" s="257" t="s">
        <v>528</v>
      </c>
      <c r="AJ186" s="258"/>
    </row>
    <row r="187" spans="1:36" hidden="1" outlineLevel="1">
      <c r="A187" s="317"/>
      <c r="B187" s="109" t="str">
        <f>DEC2HEX(HEX2DEC(B183) + 1)</f>
        <v>10040C</v>
      </c>
      <c r="C187" s="12" t="str">
        <f t="shared" si="10"/>
        <v>010040C0</v>
      </c>
      <c r="D187" s="12" t="s">
        <v>533</v>
      </c>
      <c r="E187" s="210" t="s">
        <v>534</v>
      </c>
      <c r="F187" s="211"/>
      <c r="G187" s="211"/>
      <c r="H187" s="211"/>
      <c r="I187" s="211"/>
      <c r="J187" s="211"/>
      <c r="K187" s="211"/>
      <c r="L187" s="211"/>
      <c r="M187" s="211"/>
      <c r="N187" s="211"/>
      <c r="O187" s="211"/>
      <c r="P187" s="211"/>
      <c r="Q187" s="211"/>
      <c r="R187" s="211"/>
      <c r="S187" s="211"/>
      <c r="T187" s="211"/>
      <c r="U187" s="211"/>
      <c r="V187" s="211"/>
      <c r="W187" s="211"/>
      <c r="X187" s="211"/>
      <c r="Y187" s="211"/>
      <c r="Z187" s="211"/>
      <c r="AA187" s="211"/>
      <c r="AB187" s="212"/>
      <c r="AC187" s="205" t="s">
        <v>15</v>
      </c>
      <c r="AD187" s="228"/>
      <c r="AE187" s="228"/>
      <c r="AF187" s="228"/>
      <c r="AG187" s="228"/>
      <c r="AH187" s="206"/>
      <c r="AI187" s="53" t="s">
        <v>524</v>
      </c>
      <c r="AJ187" s="54" t="s">
        <v>525</v>
      </c>
    </row>
    <row r="188" spans="1:36" hidden="1" outlineLevel="1">
      <c r="A188" s="317"/>
      <c r="B188" s="79"/>
      <c r="C188" s="12" t="str">
        <f t="shared" si="10"/>
        <v>010040C4</v>
      </c>
      <c r="D188" s="12" t="s">
        <v>535</v>
      </c>
      <c r="E188" s="210" t="s">
        <v>536</v>
      </c>
      <c r="F188" s="211"/>
      <c r="G188" s="211"/>
      <c r="H188" s="211"/>
      <c r="I188" s="211"/>
      <c r="J188" s="211"/>
      <c r="K188" s="211"/>
      <c r="L188" s="211"/>
      <c r="M188" s="211"/>
      <c r="N188" s="211"/>
      <c r="O188" s="211"/>
      <c r="P188" s="211"/>
      <c r="Q188" s="211"/>
      <c r="R188" s="211"/>
      <c r="S188" s="211"/>
      <c r="T188" s="211"/>
      <c r="U188" s="211"/>
      <c r="V188" s="211"/>
      <c r="W188" s="211"/>
      <c r="X188" s="211"/>
      <c r="Y188" s="211"/>
      <c r="Z188" s="211"/>
      <c r="AA188" s="211"/>
      <c r="AB188" s="212"/>
      <c r="AC188" s="205" t="s">
        <v>15</v>
      </c>
      <c r="AD188" s="228"/>
      <c r="AE188" s="228"/>
      <c r="AF188" s="228"/>
      <c r="AG188" s="228"/>
      <c r="AH188" s="206"/>
      <c r="AI188" s="257" t="s">
        <v>528</v>
      </c>
      <c r="AJ188" s="258"/>
    </row>
    <row r="189" spans="1:36" hidden="1" outlineLevel="1">
      <c r="A189" s="317"/>
      <c r="B189" s="79"/>
      <c r="C189" s="12" t="str">
        <f t="shared" si="10"/>
        <v>010040C8</v>
      </c>
      <c r="D189" s="12" t="s">
        <v>537</v>
      </c>
      <c r="E189" s="210" t="s">
        <v>538</v>
      </c>
      <c r="F189" s="211"/>
      <c r="G189" s="211"/>
      <c r="H189" s="211"/>
      <c r="I189" s="211"/>
      <c r="J189" s="211"/>
      <c r="K189" s="211"/>
      <c r="L189" s="211"/>
      <c r="M189" s="211"/>
      <c r="N189" s="211"/>
      <c r="O189" s="211"/>
      <c r="P189" s="211"/>
      <c r="Q189" s="211"/>
      <c r="R189" s="211"/>
      <c r="S189" s="211"/>
      <c r="T189" s="211"/>
      <c r="U189" s="211"/>
      <c r="V189" s="211"/>
      <c r="W189" s="211"/>
      <c r="X189" s="211"/>
      <c r="Y189" s="211"/>
      <c r="Z189" s="211"/>
      <c r="AA189" s="211"/>
      <c r="AB189" s="212"/>
      <c r="AC189" s="205" t="s">
        <v>15</v>
      </c>
      <c r="AD189" s="228"/>
      <c r="AE189" s="228"/>
      <c r="AF189" s="228"/>
      <c r="AG189" s="228"/>
      <c r="AH189" s="206"/>
      <c r="AI189" s="53" t="s">
        <v>524</v>
      </c>
      <c r="AJ189" s="54" t="s">
        <v>525</v>
      </c>
    </row>
    <row r="190" spans="1:36" hidden="1" outlineLevel="1">
      <c r="A190" s="317"/>
      <c r="B190" s="79"/>
      <c r="C190" s="12" t="str">
        <f t="shared" si="10"/>
        <v>010040CC</v>
      </c>
      <c r="D190" s="12" t="s">
        <v>539</v>
      </c>
      <c r="E190" s="210" t="s">
        <v>540</v>
      </c>
      <c r="F190" s="211"/>
      <c r="G190" s="211"/>
      <c r="H190" s="211"/>
      <c r="I190" s="211"/>
      <c r="J190" s="211"/>
      <c r="K190" s="211"/>
      <c r="L190" s="211"/>
      <c r="M190" s="211"/>
      <c r="N190" s="211"/>
      <c r="O190" s="211"/>
      <c r="P190" s="211"/>
      <c r="Q190" s="211"/>
      <c r="R190" s="211"/>
      <c r="S190" s="211"/>
      <c r="T190" s="211"/>
      <c r="U190" s="211"/>
      <c r="V190" s="211"/>
      <c r="W190" s="211"/>
      <c r="X190" s="211"/>
      <c r="Y190" s="211"/>
      <c r="Z190" s="211"/>
      <c r="AA190" s="211"/>
      <c r="AB190" s="212"/>
      <c r="AC190" s="205" t="s">
        <v>15</v>
      </c>
      <c r="AD190" s="228"/>
      <c r="AE190" s="228"/>
      <c r="AF190" s="228"/>
      <c r="AG190" s="228"/>
      <c r="AH190" s="206"/>
      <c r="AI190" s="257" t="s">
        <v>528</v>
      </c>
      <c r="AJ190" s="258"/>
    </row>
    <row r="191" spans="1:36" hidden="1" outlineLevel="1">
      <c r="A191" s="317"/>
      <c r="B191" s="109" t="str">
        <f>DEC2HEX(HEX2DEC(B187) + 1)</f>
        <v>10040D</v>
      </c>
      <c r="C191" s="12" t="str">
        <f t="shared" si="10"/>
        <v>010040D0</v>
      </c>
      <c r="D191" s="12" t="s">
        <v>541</v>
      </c>
      <c r="E191" s="210" t="s">
        <v>542</v>
      </c>
      <c r="F191" s="211"/>
      <c r="G191" s="211"/>
      <c r="H191" s="211"/>
      <c r="I191" s="211"/>
      <c r="J191" s="211"/>
      <c r="K191" s="211"/>
      <c r="L191" s="211"/>
      <c r="M191" s="211"/>
      <c r="N191" s="211"/>
      <c r="O191" s="211"/>
      <c r="P191" s="211"/>
      <c r="Q191" s="211"/>
      <c r="R191" s="211"/>
      <c r="S191" s="211"/>
      <c r="T191" s="211"/>
      <c r="U191" s="211"/>
      <c r="V191" s="211"/>
      <c r="W191" s="211"/>
      <c r="X191" s="211"/>
      <c r="Y191" s="211"/>
      <c r="Z191" s="211"/>
      <c r="AA191" s="211"/>
      <c r="AB191" s="212"/>
      <c r="AC191" s="205" t="s">
        <v>15</v>
      </c>
      <c r="AD191" s="228"/>
      <c r="AE191" s="228"/>
      <c r="AF191" s="228"/>
      <c r="AG191" s="228"/>
      <c r="AH191" s="206"/>
      <c r="AI191" s="53" t="s">
        <v>524</v>
      </c>
      <c r="AJ191" s="54" t="s">
        <v>525</v>
      </c>
    </row>
    <row r="192" spans="1:36" hidden="1" outlineLevel="1">
      <c r="A192" s="317"/>
      <c r="B192" s="79"/>
      <c r="C192" s="12" t="str">
        <f t="shared" si="10"/>
        <v>010040D4</v>
      </c>
      <c r="D192" s="12" t="s">
        <v>543</v>
      </c>
      <c r="E192" s="210" t="s">
        <v>544</v>
      </c>
      <c r="F192" s="211"/>
      <c r="G192" s="211"/>
      <c r="H192" s="211"/>
      <c r="I192" s="211"/>
      <c r="J192" s="211"/>
      <c r="K192" s="211"/>
      <c r="L192" s="211"/>
      <c r="M192" s="211"/>
      <c r="N192" s="211"/>
      <c r="O192" s="211"/>
      <c r="P192" s="211"/>
      <c r="Q192" s="211"/>
      <c r="R192" s="211"/>
      <c r="S192" s="211"/>
      <c r="T192" s="211"/>
      <c r="U192" s="211"/>
      <c r="V192" s="211"/>
      <c r="W192" s="211"/>
      <c r="X192" s="211"/>
      <c r="Y192" s="211"/>
      <c r="Z192" s="211"/>
      <c r="AA192" s="211"/>
      <c r="AB192" s="212"/>
      <c r="AC192" s="205" t="s">
        <v>15</v>
      </c>
      <c r="AD192" s="228"/>
      <c r="AE192" s="228"/>
      <c r="AF192" s="228"/>
      <c r="AG192" s="228"/>
      <c r="AH192" s="206"/>
      <c r="AI192" s="257" t="s">
        <v>528</v>
      </c>
      <c r="AJ192" s="258"/>
    </row>
    <row r="193" spans="1:36" hidden="1" outlineLevel="1">
      <c r="A193" s="317"/>
      <c r="B193" s="79"/>
      <c r="C193" s="12" t="str">
        <f t="shared" si="10"/>
        <v>010040D8</v>
      </c>
      <c r="D193" s="12" t="s">
        <v>545</v>
      </c>
      <c r="E193" s="210" t="s">
        <v>546</v>
      </c>
      <c r="F193" s="211"/>
      <c r="G193" s="211"/>
      <c r="H193" s="211"/>
      <c r="I193" s="211"/>
      <c r="J193" s="211"/>
      <c r="K193" s="211"/>
      <c r="L193" s="211"/>
      <c r="M193" s="211"/>
      <c r="N193" s="211"/>
      <c r="O193" s="211"/>
      <c r="P193" s="211"/>
      <c r="Q193" s="211"/>
      <c r="R193" s="211"/>
      <c r="S193" s="211"/>
      <c r="T193" s="211"/>
      <c r="U193" s="211"/>
      <c r="V193" s="211"/>
      <c r="W193" s="211"/>
      <c r="X193" s="211"/>
      <c r="Y193" s="211"/>
      <c r="Z193" s="211"/>
      <c r="AA193" s="211"/>
      <c r="AB193" s="212"/>
      <c r="AC193" s="205" t="s">
        <v>15</v>
      </c>
      <c r="AD193" s="228"/>
      <c r="AE193" s="228"/>
      <c r="AF193" s="228"/>
      <c r="AG193" s="228"/>
      <c r="AH193" s="206"/>
      <c r="AI193" s="53" t="s">
        <v>524</v>
      </c>
      <c r="AJ193" s="54" t="s">
        <v>525</v>
      </c>
    </row>
    <row r="194" spans="1:36" hidden="1" outlineLevel="1">
      <c r="A194" s="317"/>
      <c r="B194" s="79"/>
      <c r="C194" s="12" t="str">
        <f t="shared" si="10"/>
        <v>010040DC</v>
      </c>
      <c r="D194" s="12" t="s">
        <v>547</v>
      </c>
      <c r="E194" s="210" t="s">
        <v>548</v>
      </c>
      <c r="F194" s="211"/>
      <c r="G194" s="211"/>
      <c r="H194" s="211"/>
      <c r="I194" s="211"/>
      <c r="J194" s="211"/>
      <c r="K194" s="211"/>
      <c r="L194" s="211"/>
      <c r="M194" s="211"/>
      <c r="N194" s="211"/>
      <c r="O194" s="211"/>
      <c r="P194" s="211"/>
      <c r="Q194" s="211"/>
      <c r="R194" s="211"/>
      <c r="S194" s="211"/>
      <c r="T194" s="211"/>
      <c r="U194" s="211"/>
      <c r="V194" s="211"/>
      <c r="W194" s="211"/>
      <c r="X194" s="211"/>
      <c r="Y194" s="211"/>
      <c r="Z194" s="211"/>
      <c r="AA194" s="211"/>
      <c r="AB194" s="212"/>
      <c r="AC194" s="205" t="s">
        <v>15</v>
      </c>
      <c r="AD194" s="228"/>
      <c r="AE194" s="228"/>
      <c r="AF194" s="228"/>
      <c r="AG194" s="228"/>
      <c r="AH194" s="206"/>
      <c r="AI194" s="257" t="s">
        <v>528</v>
      </c>
      <c r="AJ194" s="258"/>
    </row>
    <row r="195" spans="1:36" hidden="1" outlineLevel="1">
      <c r="A195" s="317"/>
      <c r="B195" s="109" t="str">
        <f>DEC2HEX(HEX2DEC(B191) + 1)</f>
        <v>10040E</v>
      </c>
      <c r="C195" s="12" t="str">
        <f t="shared" si="10"/>
        <v>010040E0</v>
      </c>
      <c r="D195" s="12" t="s">
        <v>549</v>
      </c>
      <c r="E195" s="210" t="s">
        <v>550</v>
      </c>
      <c r="F195" s="211"/>
      <c r="G195" s="211"/>
      <c r="H195" s="211"/>
      <c r="I195" s="211"/>
      <c r="J195" s="211"/>
      <c r="K195" s="211"/>
      <c r="L195" s="211"/>
      <c r="M195" s="211"/>
      <c r="N195" s="211"/>
      <c r="O195" s="211"/>
      <c r="P195" s="211"/>
      <c r="Q195" s="211"/>
      <c r="R195" s="211"/>
      <c r="S195" s="211"/>
      <c r="T195" s="211"/>
      <c r="U195" s="211"/>
      <c r="V195" s="211"/>
      <c r="W195" s="211"/>
      <c r="X195" s="211"/>
      <c r="Y195" s="211"/>
      <c r="Z195" s="211"/>
      <c r="AA195" s="211"/>
      <c r="AB195" s="212"/>
      <c r="AC195" s="205" t="s">
        <v>15</v>
      </c>
      <c r="AD195" s="228"/>
      <c r="AE195" s="228"/>
      <c r="AF195" s="228"/>
      <c r="AG195" s="228"/>
      <c r="AH195" s="206"/>
      <c r="AI195" s="53" t="s">
        <v>524</v>
      </c>
      <c r="AJ195" s="54" t="s">
        <v>525</v>
      </c>
    </row>
    <row r="196" spans="1:36" hidden="1" outlineLevel="1">
      <c r="A196" s="317"/>
      <c r="B196" s="79"/>
      <c r="C196" s="12" t="str">
        <f t="shared" si="10"/>
        <v>010040E4</v>
      </c>
      <c r="D196" s="12" t="s">
        <v>551</v>
      </c>
      <c r="E196" s="210" t="s">
        <v>552</v>
      </c>
      <c r="F196" s="211"/>
      <c r="G196" s="211"/>
      <c r="H196" s="211"/>
      <c r="I196" s="211"/>
      <c r="J196" s="211"/>
      <c r="K196" s="211"/>
      <c r="L196" s="211"/>
      <c r="M196" s="211"/>
      <c r="N196" s="211"/>
      <c r="O196" s="211"/>
      <c r="P196" s="211"/>
      <c r="Q196" s="211"/>
      <c r="R196" s="211"/>
      <c r="S196" s="211"/>
      <c r="T196" s="211"/>
      <c r="U196" s="211"/>
      <c r="V196" s="211"/>
      <c r="W196" s="211"/>
      <c r="X196" s="211"/>
      <c r="Y196" s="211"/>
      <c r="Z196" s="211"/>
      <c r="AA196" s="211"/>
      <c r="AB196" s="212"/>
      <c r="AC196" s="205" t="s">
        <v>15</v>
      </c>
      <c r="AD196" s="228"/>
      <c r="AE196" s="228"/>
      <c r="AF196" s="228"/>
      <c r="AG196" s="228"/>
      <c r="AH196" s="206"/>
      <c r="AI196" s="257" t="s">
        <v>528</v>
      </c>
      <c r="AJ196" s="258"/>
    </row>
    <row r="197" spans="1:36" hidden="1" outlineLevel="1">
      <c r="A197" s="317"/>
      <c r="B197" s="79"/>
      <c r="C197" s="12" t="str">
        <f t="shared" si="10"/>
        <v>010040E8</v>
      </c>
      <c r="D197" s="12" t="s">
        <v>553</v>
      </c>
      <c r="E197" s="210" t="s">
        <v>554</v>
      </c>
      <c r="F197" s="211"/>
      <c r="G197" s="211"/>
      <c r="H197" s="211"/>
      <c r="I197" s="211"/>
      <c r="J197" s="211"/>
      <c r="K197" s="211"/>
      <c r="L197" s="211"/>
      <c r="M197" s="211"/>
      <c r="N197" s="211"/>
      <c r="O197" s="211"/>
      <c r="P197" s="211"/>
      <c r="Q197" s="211"/>
      <c r="R197" s="211"/>
      <c r="S197" s="211"/>
      <c r="T197" s="211"/>
      <c r="U197" s="211"/>
      <c r="V197" s="211"/>
      <c r="W197" s="211"/>
      <c r="X197" s="211"/>
      <c r="Y197" s="211"/>
      <c r="Z197" s="211"/>
      <c r="AA197" s="211"/>
      <c r="AB197" s="212"/>
      <c r="AC197" s="205" t="s">
        <v>15</v>
      </c>
      <c r="AD197" s="228"/>
      <c r="AE197" s="228"/>
      <c r="AF197" s="228"/>
      <c r="AG197" s="228"/>
      <c r="AH197" s="206"/>
      <c r="AI197" s="53" t="s">
        <v>524</v>
      </c>
      <c r="AJ197" s="54" t="s">
        <v>525</v>
      </c>
    </row>
    <row r="198" spans="1:36" hidden="1" outlineLevel="1">
      <c r="A198" s="317"/>
      <c r="B198" s="79"/>
      <c r="C198" s="12" t="str">
        <f t="shared" si="10"/>
        <v>010040EC</v>
      </c>
      <c r="D198" s="12" t="s">
        <v>555</v>
      </c>
      <c r="E198" s="210" t="s">
        <v>556</v>
      </c>
      <c r="F198" s="211"/>
      <c r="G198" s="211"/>
      <c r="H198" s="211"/>
      <c r="I198" s="211"/>
      <c r="J198" s="211"/>
      <c r="K198" s="211"/>
      <c r="L198" s="211"/>
      <c r="M198" s="211"/>
      <c r="N198" s="211"/>
      <c r="O198" s="211"/>
      <c r="P198" s="211"/>
      <c r="Q198" s="211"/>
      <c r="R198" s="211"/>
      <c r="S198" s="211"/>
      <c r="T198" s="211"/>
      <c r="U198" s="211"/>
      <c r="V198" s="211"/>
      <c r="W198" s="211"/>
      <c r="X198" s="211"/>
      <c r="Y198" s="211"/>
      <c r="Z198" s="211"/>
      <c r="AA198" s="211"/>
      <c r="AB198" s="212"/>
      <c r="AC198" s="205" t="s">
        <v>15</v>
      </c>
      <c r="AD198" s="228"/>
      <c r="AE198" s="228"/>
      <c r="AF198" s="228"/>
      <c r="AG198" s="228"/>
      <c r="AH198" s="206"/>
      <c r="AI198" s="257" t="s">
        <v>528</v>
      </c>
      <c r="AJ198" s="258"/>
    </row>
    <row r="199" spans="1:36" ht="16.149999999999999" hidden="1" customHeight="1" outlineLevel="1">
      <c r="A199" s="317"/>
      <c r="B199" s="109" t="str">
        <f>DEC2HEX(HEX2DEC(B195) + 1)</f>
        <v>10040F</v>
      </c>
      <c r="C199" s="12" t="str">
        <f t="shared" si="10"/>
        <v>010040F0</v>
      </c>
      <c r="D199" s="58" t="s">
        <v>557</v>
      </c>
      <c r="E199" s="210" t="s">
        <v>558</v>
      </c>
      <c r="F199" s="211"/>
      <c r="G199" s="211"/>
      <c r="H199" s="211"/>
      <c r="I199" s="211"/>
      <c r="J199" s="211"/>
      <c r="K199" s="211"/>
      <c r="L199" s="211"/>
      <c r="M199" s="211"/>
      <c r="N199" s="211"/>
      <c r="O199" s="211"/>
      <c r="P199" s="211"/>
      <c r="Q199" s="211"/>
      <c r="R199" s="211"/>
      <c r="S199" s="211"/>
      <c r="T199" s="211"/>
      <c r="U199" s="211"/>
      <c r="V199" s="211"/>
      <c r="W199" s="211"/>
      <c r="X199" s="211"/>
      <c r="Y199" s="211"/>
      <c r="Z199" s="211"/>
      <c r="AA199" s="211"/>
      <c r="AB199" s="212"/>
      <c r="AC199" s="234" t="s">
        <v>15</v>
      </c>
      <c r="AD199" s="272"/>
      <c r="AE199" s="272"/>
      <c r="AF199" s="272"/>
      <c r="AG199" s="272"/>
      <c r="AH199" s="272"/>
      <c r="AI199" s="272"/>
      <c r="AJ199" s="235"/>
    </row>
    <row r="200" spans="1:36" hidden="1" outlineLevel="1">
      <c r="A200" s="317"/>
      <c r="B200" s="79"/>
      <c r="C200" s="12" t="str">
        <f t="shared" si="10"/>
        <v>010040F4</v>
      </c>
      <c r="D200" s="58" t="s">
        <v>559</v>
      </c>
      <c r="E200" s="210" t="s">
        <v>560</v>
      </c>
      <c r="F200" s="211"/>
      <c r="G200" s="211"/>
      <c r="H200" s="211"/>
      <c r="I200" s="211"/>
      <c r="J200" s="211"/>
      <c r="K200" s="211"/>
      <c r="L200" s="211"/>
      <c r="M200" s="211"/>
      <c r="N200" s="211"/>
      <c r="O200" s="211"/>
      <c r="P200" s="211"/>
      <c r="Q200" s="211"/>
      <c r="R200" s="211"/>
      <c r="S200" s="211"/>
      <c r="T200" s="211"/>
      <c r="U200" s="211"/>
      <c r="V200" s="211"/>
      <c r="W200" s="211"/>
      <c r="X200" s="211"/>
      <c r="Y200" s="211"/>
      <c r="Z200" s="211"/>
      <c r="AA200" s="211"/>
      <c r="AB200" s="212"/>
      <c r="AC200" s="234" t="s">
        <v>15</v>
      </c>
      <c r="AD200" s="272"/>
      <c r="AE200" s="272"/>
      <c r="AF200" s="272"/>
      <c r="AG200" s="272"/>
      <c r="AH200" s="272"/>
      <c r="AI200" s="272"/>
      <c r="AJ200" s="235"/>
    </row>
    <row r="201" spans="1:36" ht="16.149999999999999" hidden="1" customHeight="1" outlineLevel="1">
      <c r="A201" s="317"/>
      <c r="B201" s="79"/>
      <c r="C201" s="12" t="str">
        <f t="shared" si="10"/>
        <v>010040F8</v>
      </c>
      <c r="D201" s="18" t="s">
        <v>15</v>
      </c>
      <c r="E201" s="234" t="s">
        <v>15</v>
      </c>
      <c r="F201" s="272"/>
      <c r="G201" s="272"/>
      <c r="H201" s="272"/>
      <c r="I201" s="272"/>
      <c r="J201" s="272"/>
      <c r="K201" s="272"/>
      <c r="L201" s="272"/>
      <c r="M201" s="272"/>
      <c r="N201" s="272"/>
      <c r="O201" s="272"/>
      <c r="P201" s="272"/>
      <c r="Q201" s="272"/>
      <c r="R201" s="272"/>
      <c r="S201" s="272"/>
      <c r="T201" s="272"/>
      <c r="U201" s="272"/>
      <c r="V201" s="272"/>
      <c r="W201" s="272"/>
      <c r="X201" s="272"/>
      <c r="Y201" s="272"/>
      <c r="Z201" s="272"/>
      <c r="AA201" s="272"/>
      <c r="AB201" s="272"/>
      <c r="AC201" s="272"/>
      <c r="AD201" s="272"/>
      <c r="AE201" s="272"/>
      <c r="AF201" s="272"/>
      <c r="AG201" s="272"/>
      <c r="AH201" s="272"/>
      <c r="AI201" s="272"/>
      <c r="AJ201" s="235"/>
    </row>
    <row r="202" spans="1:36" hidden="1" outlineLevel="1">
      <c r="A202" s="317"/>
      <c r="B202" s="79"/>
      <c r="C202" s="12" t="str">
        <f t="shared" si="10"/>
        <v>010040FC</v>
      </c>
      <c r="D202" s="18" t="s">
        <v>15</v>
      </c>
      <c r="E202" s="234" t="s">
        <v>15</v>
      </c>
      <c r="F202" s="272"/>
      <c r="G202" s="272"/>
      <c r="H202" s="272"/>
      <c r="I202" s="272"/>
      <c r="J202" s="272"/>
      <c r="K202" s="272"/>
      <c r="L202" s="272"/>
      <c r="M202" s="272"/>
      <c r="N202" s="272"/>
      <c r="O202" s="272"/>
      <c r="P202" s="272"/>
      <c r="Q202" s="272"/>
      <c r="R202" s="272"/>
      <c r="S202" s="272"/>
      <c r="T202" s="272"/>
      <c r="U202" s="272"/>
      <c r="V202" s="272"/>
      <c r="W202" s="272"/>
      <c r="X202" s="272"/>
      <c r="Y202" s="272"/>
      <c r="Z202" s="272"/>
      <c r="AA202" s="272"/>
      <c r="AB202" s="272"/>
      <c r="AC202" s="272"/>
      <c r="AD202" s="272"/>
      <c r="AE202" s="272"/>
      <c r="AF202" s="272"/>
      <c r="AG202" s="272"/>
      <c r="AH202" s="272"/>
      <c r="AI202" s="272"/>
      <c r="AJ202" s="235"/>
    </row>
    <row r="203" spans="1:36" hidden="1" outlineLevel="1">
      <c r="A203" s="317"/>
      <c r="B203" s="109" t="str">
        <f>DEC2HEX(HEX2DEC(B199) + 1)</f>
        <v>100410</v>
      </c>
      <c r="C203" s="12" t="str">
        <f t="shared" si="10"/>
        <v>01004100</v>
      </c>
      <c r="D203" s="18" t="s">
        <v>15</v>
      </c>
      <c r="E203" s="234" t="s">
        <v>15</v>
      </c>
      <c r="F203" s="272"/>
      <c r="G203" s="272"/>
      <c r="H203" s="272"/>
      <c r="I203" s="272"/>
      <c r="J203" s="272"/>
      <c r="K203" s="272"/>
      <c r="L203" s="272"/>
      <c r="M203" s="272"/>
      <c r="N203" s="272"/>
      <c r="O203" s="272"/>
      <c r="P203" s="272"/>
      <c r="Q203" s="272"/>
      <c r="R203" s="272"/>
      <c r="S203" s="272"/>
      <c r="T203" s="272"/>
      <c r="U203" s="272"/>
      <c r="V203" s="272"/>
      <c r="W203" s="272"/>
      <c r="X203" s="272"/>
      <c r="Y203" s="272"/>
      <c r="Z203" s="272"/>
      <c r="AA203" s="272"/>
      <c r="AB203" s="272"/>
      <c r="AC203" s="272"/>
      <c r="AD203" s="272"/>
      <c r="AE203" s="272"/>
      <c r="AF203" s="272"/>
      <c r="AG203" s="272"/>
      <c r="AH203" s="272"/>
      <c r="AI203" s="272"/>
      <c r="AJ203" s="235"/>
    </row>
    <row r="204" spans="1:36" hidden="1" outlineLevel="1">
      <c r="A204" s="317"/>
      <c r="B204" s="79"/>
      <c r="C204" s="12" t="str">
        <f t="shared" si="10"/>
        <v>01004104</v>
      </c>
      <c r="D204" s="18" t="s">
        <v>15</v>
      </c>
      <c r="E204" s="234" t="s">
        <v>15</v>
      </c>
      <c r="F204" s="272"/>
      <c r="G204" s="272"/>
      <c r="H204" s="272"/>
      <c r="I204" s="272"/>
      <c r="J204" s="272"/>
      <c r="K204" s="272"/>
      <c r="L204" s="272"/>
      <c r="M204" s="272"/>
      <c r="N204" s="272"/>
      <c r="O204" s="272"/>
      <c r="P204" s="272"/>
      <c r="Q204" s="272"/>
      <c r="R204" s="272"/>
      <c r="S204" s="272"/>
      <c r="T204" s="272"/>
      <c r="U204" s="272"/>
      <c r="V204" s="272"/>
      <c r="W204" s="272"/>
      <c r="X204" s="272"/>
      <c r="Y204" s="272"/>
      <c r="Z204" s="272"/>
      <c r="AA204" s="272"/>
      <c r="AB204" s="272"/>
      <c r="AC204" s="272"/>
      <c r="AD204" s="272"/>
      <c r="AE204" s="272"/>
      <c r="AF204" s="272"/>
      <c r="AG204" s="272"/>
      <c r="AH204" s="272"/>
      <c r="AI204" s="272"/>
      <c r="AJ204" s="235"/>
    </row>
    <row r="205" spans="1:36" hidden="1" outlineLevel="1">
      <c r="A205" s="317"/>
      <c r="B205" s="79"/>
      <c r="C205" s="12" t="str">
        <f t="shared" ref="C205:C266" si="17">DEC2HEX(HEX2DEC(C204) + 4,8)</f>
        <v>01004108</v>
      </c>
      <c r="D205" s="18" t="s">
        <v>15</v>
      </c>
      <c r="E205" s="234" t="s">
        <v>15</v>
      </c>
      <c r="F205" s="272"/>
      <c r="G205" s="272"/>
      <c r="H205" s="272"/>
      <c r="I205" s="272"/>
      <c r="J205" s="272"/>
      <c r="K205" s="272"/>
      <c r="L205" s="272"/>
      <c r="M205" s="272"/>
      <c r="N205" s="272"/>
      <c r="O205" s="272"/>
      <c r="P205" s="272"/>
      <c r="Q205" s="272"/>
      <c r="R205" s="272"/>
      <c r="S205" s="272"/>
      <c r="T205" s="272"/>
      <c r="U205" s="272"/>
      <c r="V205" s="272"/>
      <c r="W205" s="272"/>
      <c r="X205" s="272"/>
      <c r="Y205" s="272"/>
      <c r="Z205" s="272"/>
      <c r="AA205" s="272"/>
      <c r="AB205" s="272"/>
      <c r="AC205" s="272"/>
      <c r="AD205" s="272"/>
      <c r="AE205" s="272"/>
      <c r="AF205" s="272"/>
      <c r="AG205" s="272"/>
      <c r="AH205" s="272"/>
      <c r="AI205" s="272"/>
      <c r="AJ205" s="235"/>
    </row>
    <row r="206" spans="1:36" hidden="1" outlineLevel="1">
      <c r="A206" s="317"/>
      <c r="B206" s="79"/>
      <c r="C206" s="12" t="str">
        <f t="shared" si="17"/>
        <v>0100410C</v>
      </c>
      <c r="D206" s="18" t="s">
        <v>15</v>
      </c>
      <c r="E206" s="234" t="s">
        <v>15</v>
      </c>
      <c r="F206" s="272"/>
      <c r="G206" s="272"/>
      <c r="H206" s="272"/>
      <c r="I206" s="272"/>
      <c r="J206" s="272"/>
      <c r="K206" s="272"/>
      <c r="L206" s="272"/>
      <c r="M206" s="272"/>
      <c r="N206" s="272"/>
      <c r="O206" s="272"/>
      <c r="P206" s="272"/>
      <c r="Q206" s="272"/>
      <c r="R206" s="272"/>
      <c r="S206" s="272"/>
      <c r="T206" s="272"/>
      <c r="U206" s="272"/>
      <c r="V206" s="272"/>
      <c r="W206" s="272"/>
      <c r="X206" s="272"/>
      <c r="Y206" s="272"/>
      <c r="Z206" s="272"/>
      <c r="AA206" s="272"/>
      <c r="AB206" s="272"/>
      <c r="AC206" s="272"/>
      <c r="AD206" s="272"/>
      <c r="AE206" s="272"/>
      <c r="AF206" s="272"/>
      <c r="AG206" s="272"/>
      <c r="AH206" s="272"/>
      <c r="AI206" s="272"/>
      <c r="AJ206" s="235"/>
    </row>
    <row r="207" spans="1:36" hidden="1" outlineLevel="1">
      <c r="A207" s="317"/>
      <c r="B207" s="109" t="str">
        <f>DEC2HEX(HEX2DEC(B203) + 1)</f>
        <v>100411</v>
      </c>
      <c r="C207" s="12" t="str">
        <f t="shared" si="17"/>
        <v>01004110</v>
      </c>
      <c r="D207" s="18" t="s">
        <v>15</v>
      </c>
      <c r="E207" s="234" t="s">
        <v>15</v>
      </c>
      <c r="F207" s="272"/>
      <c r="G207" s="272"/>
      <c r="H207" s="272"/>
      <c r="I207" s="272"/>
      <c r="J207" s="272"/>
      <c r="K207" s="272"/>
      <c r="L207" s="272"/>
      <c r="M207" s="272"/>
      <c r="N207" s="272"/>
      <c r="O207" s="272"/>
      <c r="P207" s="272"/>
      <c r="Q207" s="272"/>
      <c r="R207" s="272"/>
      <c r="S207" s="272"/>
      <c r="T207" s="272"/>
      <c r="U207" s="272"/>
      <c r="V207" s="272"/>
      <c r="W207" s="272"/>
      <c r="X207" s="272"/>
      <c r="Y207" s="272"/>
      <c r="Z207" s="272"/>
      <c r="AA207" s="272"/>
      <c r="AB207" s="272"/>
      <c r="AC207" s="272"/>
      <c r="AD207" s="272"/>
      <c r="AE207" s="272"/>
      <c r="AF207" s="272"/>
      <c r="AG207" s="272"/>
      <c r="AH207" s="272"/>
      <c r="AI207" s="272"/>
      <c r="AJ207" s="235"/>
    </row>
    <row r="208" spans="1:36" hidden="1" outlineLevel="1">
      <c r="A208" s="317"/>
      <c r="B208" s="79"/>
      <c r="C208" s="12" t="str">
        <f t="shared" si="17"/>
        <v>01004114</v>
      </c>
      <c r="D208" s="18" t="s">
        <v>15</v>
      </c>
      <c r="E208" s="234" t="s">
        <v>15</v>
      </c>
      <c r="F208" s="272"/>
      <c r="G208" s="272"/>
      <c r="H208" s="272"/>
      <c r="I208" s="272"/>
      <c r="J208" s="272"/>
      <c r="K208" s="272"/>
      <c r="L208" s="272"/>
      <c r="M208" s="272"/>
      <c r="N208" s="272"/>
      <c r="O208" s="272"/>
      <c r="P208" s="272"/>
      <c r="Q208" s="272"/>
      <c r="R208" s="272"/>
      <c r="S208" s="272"/>
      <c r="T208" s="272"/>
      <c r="U208" s="272"/>
      <c r="V208" s="272"/>
      <c r="W208" s="272"/>
      <c r="X208" s="272"/>
      <c r="Y208" s="272"/>
      <c r="Z208" s="272"/>
      <c r="AA208" s="272"/>
      <c r="AB208" s="272"/>
      <c r="AC208" s="272"/>
      <c r="AD208" s="272"/>
      <c r="AE208" s="272"/>
      <c r="AF208" s="272"/>
      <c r="AG208" s="272"/>
      <c r="AH208" s="272"/>
      <c r="AI208" s="272"/>
      <c r="AJ208" s="235"/>
    </row>
    <row r="209" spans="1:36" hidden="1" outlineLevel="1">
      <c r="A209" s="317"/>
      <c r="B209" s="79"/>
      <c r="C209" s="12" t="str">
        <f t="shared" si="17"/>
        <v>01004118</v>
      </c>
      <c r="D209" s="18" t="s">
        <v>15</v>
      </c>
      <c r="E209" s="234" t="s">
        <v>15</v>
      </c>
      <c r="F209" s="272"/>
      <c r="G209" s="272"/>
      <c r="H209" s="272"/>
      <c r="I209" s="272"/>
      <c r="J209" s="272"/>
      <c r="K209" s="272"/>
      <c r="L209" s="272"/>
      <c r="M209" s="272"/>
      <c r="N209" s="272"/>
      <c r="O209" s="272"/>
      <c r="P209" s="272"/>
      <c r="Q209" s="272"/>
      <c r="R209" s="272"/>
      <c r="S209" s="272"/>
      <c r="T209" s="272"/>
      <c r="U209" s="272"/>
      <c r="V209" s="272"/>
      <c r="W209" s="272"/>
      <c r="X209" s="272"/>
      <c r="Y209" s="272"/>
      <c r="Z209" s="272"/>
      <c r="AA209" s="272"/>
      <c r="AB209" s="272"/>
      <c r="AC209" s="272"/>
      <c r="AD209" s="272"/>
      <c r="AE209" s="272"/>
      <c r="AF209" s="272"/>
      <c r="AG209" s="272"/>
      <c r="AH209" s="272"/>
      <c r="AI209" s="272"/>
      <c r="AJ209" s="235"/>
    </row>
    <row r="210" spans="1:36" hidden="1" outlineLevel="1">
      <c r="A210" s="317"/>
      <c r="B210" s="79"/>
      <c r="C210" s="12" t="str">
        <f t="shared" si="17"/>
        <v>0100411C</v>
      </c>
      <c r="D210" s="18" t="s">
        <v>15</v>
      </c>
      <c r="E210" s="234" t="s">
        <v>15</v>
      </c>
      <c r="F210" s="272"/>
      <c r="G210" s="272"/>
      <c r="H210" s="272"/>
      <c r="I210" s="272"/>
      <c r="J210" s="272"/>
      <c r="K210" s="272"/>
      <c r="L210" s="272"/>
      <c r="M210" s="272"/>
      <c r="N210" s="272"/>
      <c r="O210" s="272"/>
      <c r="P210" s="272"/>
      <c r="Q210" s="272"/>
      <c r="R210" s="272"/>
      <c r="S210" s="272"/>
      <c r="T210" s="272"/>
      <c r="U210" s="272"/>
      <c r="V210" s="272"/>
      <c r="W210" s="272"/>
      <c r="X210" s="272"/>
      <c r="Y210" s="272"/>
      <c r="Z210" s="272"/>
      <c r="AA210" s="272"/>
      <c r="AB210" s="272"/>
      <c r="AC210" s="272"/>
      <c r="AD210" s="272"/>
      <c r="AE210" s="272"/>
      <c r="AF210" s="272"/>
      <c r="AG210" s="272"/>
      <c r="AH210" s="272"/>
      <c r="AI210" s="272"/>
      <c r="AJ210" s="235"/>
    </row>
    <row r="211" spans="1:36" ht="15.75" hidden="1" customHeight="1" outlineLevel="1">
      <c r="A211" s="317"/>
      <c r="B211" s="289" t="str">
        <f>DEC2HEX(HEX2DEC(B207) + 1)</f>
        <v>100412</v>
      </c>
      <c r="C211" s="12" t="str">
        <f t="shared" si="17"/>
        <v>01004120</v>
      </c>
      <c r="D211" s="61" t="s">
        <v>561</v>
      </c>
      <c r="E211" s="277" t="s">
        <v>562</v>
      </c>
      <c r="F211" s="278"/>
      <c r="G211" s="278"/>
      <c r="H211" s="278"/>
      <c r="I211" s="278"/>
      <c r="J211" s="278"/>
      <c r="K211" s="278"/>
      <c r="L211" s="278"/>
      <c r="M211" s="278"/>
      <c r="N211" s="278"/>
      <c r="O211" s="278"/>
      <c r="P211" s="278"/>
      <c r="Q211" s="278"/>
      <c r="R211" s="278"/>
      <c r="S211" s="278"/>
      <c r="T211" s="278"/>
      <c r="U211" s="278"/>
      <c r="V211" s="278"/>
      <c r="W211" s="278"/>
      <c r="X211" s="278"/>
      <c r="Y211" s="278"/>
      <c r="Z211" s="278"/>
      <c r="AA211" s="278"/>
      <c r="AB211" s="278"/>
      <c r="AC211" s="278"/>
      <c r="AD211" s="278"/>
      <c r="AE211" s="278"/>
      <c r="AF211" s="278"/>
      <c r="AG211" s="278"/>
      <c r="AH211" s="278"/>
      <c r="AI211" s="278"/>
      <c r="AJ211" s="279"/>
    </row>
    <row r="212" spans="1:36" hidden="1" outlineLevel="1">
      <c r="A212" s="317"/>
      <c r="B212" s="290"/>
      <c r="C212" s="12" t="str">
        <f t="shared" si="17"/>
        <v>01004124</v>
      </c>
      <c r="D212" s="12" t="s">
        <v>563</v>
      </c>
      <c r="E212" s="207" t="s">
        <v>564</v>
      </c>
      <c r="F212" s="208"/>
      <c r="G212" s="208"/>
      <c r="H212" s="208"/>
      <c r="I212" s="208"/>
      <c r="J212" s="208"/>
      <c r="K212" s="208"/>
      <c r="L212" s="208"/>
      <c r="M212" s="208"/>
      <c r="N212" s="208"/>
      <c r="O212" s="208"/>
      <c r="P212" s="208"/>
      <c r="Q212" s="208"/>
      <c r="R212" s="208"/>
      <c r="S212" s="208"/>
      <c r="T212" s="208"/>
      <c r="U212" s="208"/>
      <c r="V212" s="208"/>
      <c r="W212" s="208"/>
      <c r="X212" s="208"/>
      <c r="Y212" s="208"/>
      <c r="Z212" s="208"/>
      <c r="AA212" s="208"/>
      <c r="AB212" s="208"/>
      <c r="AC212" s="208"/>
      <c r="AD212" s="208"/>
      <c r="AE212" s="208"/>
      <c r="AF212" s="208"/>
      <c r="AG212" s="208"/>
      <c r="AH212" s="208"/>
      <c r="AI212" s="208"/>
      <c r="AJ212" s="292"/>
    </row>
    <row r="213" spans="1:36" hidden="1" outlineLevel="1">
      <c r="A213" s="317"/>
      <c r="B213" s="290"/>
      <c r="C213" s="12" t="str">
        <f t="shared" si="17"/>
        <v>01004128</v>
      </c>
      <c r="D213" s="12" t="s">
        <v>565</v>
      </c>
      <c r="E213" s="293" t="s">
        <v>566</v>
      </c>
      <c r="F213" s="226"/>
      <c r="G213" s="226"/>
      <c r="H213" s="226"/>
      <c r="I213" s="226"/>
      <c r="J213" s="226"/>
      <c r="K213" s="226"/>
      <c r="L213" s="226"/>
      <c r="M213" s="226"/>
      <c r="N213" s="226"/>
      <c r="O213" s="226"/>
      <c r="P213" s="226"/>
      <c r="Q213" s="226"/>
      <c r="R213" s="226"/>
      <c r="S213" s="226"/>
      <c r="T213" s="226"/>
      <c r="U213" s="226"/>
      <c r="V213" s="226"/>
      <c r="W213" s="226"/>
      <c r="X213" s="226"/>
      <c r="Y213" s="226"/>
      <c r="Z213" s="226"/>
      <c r="AA213" s="226"/>
      <c r="AB213" s="226"/>
      <c r="AC213" s="226"/>
      <c r="AD213" s="226"/>
      <c r="AE213" s="226"/>
      <c r="AF213" s="226"/>
      <c r="AG213" s="226"/>
      <c r="AH213" s="226"/>
      <c r="AI213" s="226"/>
      <c r="AJ213" s="227"/>
    </row>
    <row r="214" spans="1:36" hidden="1" outlineLevel="1">
      <c r="A214" s="317"/>
      <c r="B214" s="291"/>
      <c r="C214" s="12" t="str">
        <f t="shared" si="17"/>
        <v>0100412C</v>
      </c>
      <c r="D214" s="14" t="s">
        <v>567</v>
      </c>
      <c r="E214" s="229" t="s">
        <v>568</v>
      </c>
      <c r="F214" s="294"/>
      <c r="G214" s="294"/>
      <c r="H214" s="294"/>
      <c r="I214" s="294"/>
      <c r="J214" s="294"/>
      <c r="K214" s="294"/>
      <c r="L214" s="294"/>
      <c r="M214" s="294"/>
      <c r="N214" s="294"/>
      <c r="O214" s="294"/>
      <c r="P214" s="294"/>
      <c r="Q214" s="294"/>
      <c r="R214" s="294"/>
      <c r="S214" s="294"/>
      <c r="T214" s="294"/>
      <c r="U214" s="294"/>
      <c r="V214" s="294"/>
      <c r="W214" s="294"/>
      <c r="X214" s="294"/>
      <c r="Y214" s="294"/>
      <c r="Z214" s="294"/>
      <c r="AA214" s="294"/>
      <c r="AB214" s="294"/>
      <c r="AC214" s="294"/>
      <c r="AD214" s="294"/>
      <c r="AE214" s="294"/>
      <c r="AF214" s="294"/>
      <c r="AG214" s="294"/>
      <c r="AH214" s="294"/>
      <c r="AI214" s="294"/>
      <c r="AJ214" s="295"/>
    </row>
    <row r="215" spans="1:36" ht="15.75" hidden="1" customHeight="1" outlineLevel="1">
      <c r="A215" s="317"/>
      <c r="B215" s="289" t="str">
        <f>DEC2HEX(HEX2DEC(B211) + 1)</f>
        <v>100413</v>
      </c>
      <c r="C215" s="12" t="str">
        <f t="shared" si="17"/>
        <v>01004130</v>
      </c>
      <c r="D215" s="61" t="s">
        <v>569</v>
      </c>
      <c r="E215" s="277" t="s">
        <v>570</v>
      </c>
      <c r="F215" s="278"/>
      <c r="G215" s="278"/>
      <c r="H215" s="278"/>
      <c r="I215" s="278"/>
      <c r="J215" s="278"/>
      <c r="K215" s="278"/>
      <c r="L215" s="278"/>
      <c r="M215" s="278"/>
      <c r="N215" s="278"/>
      <c r="O215" s="278"/>
      <c r="P215" s="278"/>
      <c r="Q215" s="278"/>
      <c r="R215" s="278"/>
      <c r="S215" s="278"/>
      <c r="T215" s="278"/>
      <c r="U215" s="278"/>
      <c r="V215" s="278"/>
      <c r="W215" s="278"/>
      <c r="X215" s="278"/>
      <c r="Y215" s="278"/>
      <c r="Z215" s="278"/>
      <c r="AA215" s="278"/>
      <c r="AB215" s="278"/>
      <c r="AC215" s="278"/>
      <c r="AD215" s="278"/>
      <c r="AE215" s="278"/>
      <c r="AF215" s="278"/>
      <c r="AG215" s="278"/>
      <c r="AH215" s="278"/>
      <c r="AI215" s="278"/>
      <c r="AJ215" s="279"/>
    </row>
    <row r="216" spans="1:36" hidden="1" outlineLevel="1">
      <c r="A216" s="317"/>
      <c r="B216" s="290"/>
      <c r="C216" s="12" t="str">
        <f t="shared" si="17"/>
        <v>01004134</v>
      </c>
      <c r="D216" s="12" t="s">
        <v>571</v>
      </c>
      <c r="E216" s="207" t="s">
        <v>572</v>
      </c>
      <c r="F216" s="208"/>
      <c r="G216" s="208"/>
      <c r="H216" s="208"/>
      <c r="I216" s="208"/>
      <c r="J216" s="208"/>
      <c r="K216" s="208"/>
      <c r="L216" s="208"/>
      <c r="M216" s="208"/>
      <c r="N216" s="208"/>
      <c r="O216" s="208"/>
      <c r="P216" s="208"/>
      <c r="Q216" s="208"/>
      <c r="R216" s="208"/>
      <c r="S216" s="208"/>
      <c r="T216" s="208"/>
      <c r="U216" s="208"/>
      <c r="V216" s="208"/>
      <c r="W216" s="208"/>
      <c r="X216" s="208"/>
      <c r="Y216" s="208"/>
      <c r="Z216" s="208"/>
      <c r="AA216" s="208"/>
      <c r="AB216" s="208"/>
      <c r="AC216" s="208"/>
      <c r="AD216" s="208"/>
      <c r="AE216" s="208"/>
      <c r="AF216" s="208"/>
      <c r="AG216" s="208"/>
      <c r="AH216" s="208"/>
      <c r="AI216" s="208"/>
      <c r="AJ216" s="292"/>
    </row>
    <row r="217" spans="1:36" hidden="1" outlineLevel="1">
      <c r="A217" s="317"/>
      <c r="B217" s="290"/>
      <c r="C217" s="12" t="str">
        <f t="shared" si="17"/>
        <v>01004138</v>
      </c>
      <c r="D217" s="12" t="s">
        <v>573</v>
      </c>
      <c r="E217" s="293" t="s">
        <v>574</v>
      </c>
      <c r="F217" s="226"/>
      <c r="G217" s="226"/>
      <c r="H217" s="226"/>
      <c r="I217" s="226"/>
      <c r="J217" s="226"/>
      <c r="K217" s="226"/>
      <c r="L217" s="226"/>
      <c r="M217" s="226"/>
      <c r="N217" s="226"/>
      <c r="O217" s="226"/>
      <c r="P217" s="226"/>
      <c r="Q217" s="226"/>
      <c r="R217" s="226"/>
      <c r="S217" s="226"/>
      <c r="T217" s="226"/>
      <c r="U217" s="226"/>
      <c r="V217" s="226"/>
      <c r="W217" s="226"/>
      <c r="X217" s="226"/>
      <c r="Y217" s="226"/>
      <c r="Z217" s="226"/>
      <c r="AA217" s="226"/>
      <c r="AB217" s="226"/>
      <c r="AC217" s="226"/>
      <c r="AD217" s="226"/>
      <c r="AE217" s="226"/>
      <c r="AF217" s="226"/>
      <c r="AG217" s="226"/>
      <c r="AH217" s="226"/>
      <c r="AI217" s="226"/>
      <c r="AJ217" s="227"/>
    </row>
    <row r="218" spans="1:36" hidden="1" outlineLevel="1">
      <c r="A218" s="317"/>
      <c r="B218" s="291"/>
      <c r="C218" s="12" t="str">
        <f t="shared" si="17"/>
        <v>0100413C</v>
      </c>
      <c r="D218" s="14" t="s">
        <v>575</v>
      </c>
      <c r="E218" s="229" t="s">
        <v>576</v>
      </c>
      <c r="F218" s="294"/>
      <c r="G218" s="294"/>
      <c r="H218" s="294"/>
      <c r="I218" s="294"/>
      <c r="J218" s="294"/>
      <c r="K218" s="294"/>
      <c r="L218" s="294"/>
      <c r="M218" s="294"/>
      <c r="N218" s="294"/>
      <c r="O218" s="294"/>
      <c r="P218" s="294"/>
      <c r="Q218" s="294"/>
      <c r="R218" s="294"/>
      <c r="S218" s="294"/>
      <c r="T218" s="294"/>
      <c r="U218" s="294"/>
      <c r="V218" s="294"/>
      <c r="W218" s="294"/>
      <c r="X218" s="294"/>
      <c r="Y218" s="294"/>
      <c r="Z218" s="294"/>
      <c r="AA218" s="294"/>
      <c r="AB218" s="294"/>
      <c r="AC218" s="294"/>
      <c r="AD218" s="294"/>
      <c r="AE218" s="294"/>
      <c r="AF218" s="294"/>
      <c r="AG218" s="294"/>
      <c r="AH218" s="294"/>
      <c r="AI218" s="294"/>
      <c r="AJ218" s="295"/>
    </row>
    <row r="219" spans="1:36" hidden="1" outlineLevel="1">
      <c r="A219" s="317"/>
      <c r="B219" s="289" t="str">
        <f>DEC2HEX(HEX2DEC(B215) + 1)</f>
        <v>100414</v>
      </c>
      <c r="C219" s="12" t="str">
        <f t="shared" si="17"/>
        <v>01004140</v>
      </c>
      <c r="D219" s="61" t="s">
        <v>577</v>
      </c>
      <c r="E219" s="277" t="s">
        <v>578</v>
      </c>
      <c r="F219" s="278"/>
      <c r="G219" s="278"/>
      <c r="H219" s="278"/>
      <c r="I219" s="278"/>
      <c r="J219" s="278"/>
      <c r="K219" s="278"/>
      <c r="L219" s="278"/>
      <c r="M219" s="278"/>
      <c r="N219" s="278"/>
      <c r="O219" s="278"/>
      <c r="P219" s="278"/>
      <c r="Q219" s="278"/>
      <c r="R219" s="278"/>
      <c r="S219" s="278"/>
      <c r="T219" s="278"/>
      <c r="U219" s="278"/>
      <c r="V219" s="278"/>
      <c r="W219" s="278"/>
      <c r="X219" s="278"/>
      <c r="Y219" s="278"/>
      <c r="Z219" s="278"/>
      <c r="AA219" s="278"/>
      <c r="AB219" s="278"/>
      <c r="AC219" s="278"/>
      <c r="AD219" s="278"/>
      <c r="AE219" s="278"/>
      <c r="AF219" s="278"/>
      <c r="AG219" s="278"/>
      <c r="AH219" s="278"/>
      <c r="AI219" s="278"/>
      <c r="AJ219" s="279"/>
    </row>
    <row r="220" spans="1:36" hidden="1" outlineLevel="1">
      <c r="A220" s="317"/>
      <c r="B220" s="290"/>
      <c r="C220" s="12" t="str">
        <f t="shared" si="17"/>
        <v>01004144</v>
      </c>
      <c r="D220" s="12" t="s">
        <v>579</v>
      </c>
      <c r="E220" s="207" t="s">
        <v>580</v>
      </c>
      <c r="F220" s="208"/>
      <c r="G220" s="208"/>
      <c r="H220" s="208"/>
      <c r="I220" s="208"/>
      <c r="J220" s="208"/>
      <c r="K220" s="208"/>
      <c r="L220" s="208"/>
      <c r="M220" s="208"/>
      <c r="N220" s="208"/>
      <c r="O220" s="208"/>
      <c r="P220" s="208"/>
      <c r="Q220" s="208"/>
      <c r="R220" s="208"/>
      <c r="S220" s="208"/>
      <c r="T220" s="208"/>
      <c r="U220" s="208"/>
      <c r="V220" s="208"/>
      <c r="W220" s="208"/>
      <c r="X220" s="208"/>
      <c r="Y220" s="208"/>
      <c r="Z220" s="208"/>
      <c r="AA220" s="208"/>
      <c r="AB220" s="208"/>
      <c r="AC220" s="208"/>
      <c r="AD220" s="208"/>
      <c r="AE220" s="208"/>
      <c r="AF220" s="208"/>
      <c r="AG220" s="208"/>
      <c r="AH220" s="208"/>
      <c r="AI220" s="208"/>
      <c r="AJ220" s="292"/>
    </row>
    <row r="221" spans="1:36" hidden="1" outlineLevel="1">
      <c r="A221" s="317"/>
      <c r="B221" s="290"/>
      <c r="C221" s="12" t="str">
        <f t="shared" si="17"/>
        <v>01004148</v>
      </c>
      <c r="D221" s="12" t="s">
        <v>581</v>
      </c>
      <c r="E221" s="293" t="s">
        <v>582</v>
      </c>
      <c r="F221" s="226"/>
      <c r="G221" s="226"/>
      <c r="H221" s="226"/>
      <c r="I221" s="226"/>
      <c r="J221" s="226"/>
      <c r="K221" s="226"/>
      <c r="L221" s="226"/>
      <c r="M221" s="226"/>
      <c r="N221" s="226"/>
      <c r="O221" s="226"/>
      <c r="P221" s="226"/>
      <c r="Q221" s="226"/>
      <c r="R221" s="226"/>
      <c r="S221" s="226"/>
      <c r="T221" s="226"/>
      <c r="U221" s="226"/>
      <c r="V221" s="226"/>
      <c r="W221" s="226"/>
      <c r="X221" s="226"/>
      <c r="Y221" s="226"/>
      <c r="Z221" s="226"/>
      <c r="AA221" s="226"/>
      <c r="AB221" s="226"/>
      <c r="AC221" s="226"/>
      <c r="AD221" s="226"/>
      <c r="AE221" s="226"/>
      <c r="AF221" s="226"/>
      <c r="AG221" s="226"/>
      <c r="AH221" s="226"/>
      <c r="AI221" s="226"/>
      <c r="AJ221" s="227"/>
    </row>
    <row r="222" spans="1:36" hidden="1" outlineLevel="1">
      <c r="A222" s="317"/>
      <c r="B222" s="291"/>
      <c r="C222" s="12" t="str">
        <f t="shared" si="17"/>
        <v>0100414C</v>
      </c>
      <c r="D222" s="14" t="s">
        <v>583</v>
      </c>
      <c r="E222" s="229" t="s">
        <v>584</v>
      </c>
      <c r="F222" s="294"/>
      <c r="G222" s="294"/>
      <c r="H222" s="294"/>
      <c r="I222" s="294"/>
      <c r="J222" s="294"/>
      <c r="K222" s="294"/>
      <c r="L222" s="294"/>
      <c r="M222" s="294"/>
      <c r="N222" s="294"/>
      <c r="O222" s="294"/>
      <c r="P222" s="294"/>
      <c r="Q222" s="294"/>
      <c r="R222" s="294"/>
      <c r="S222" s="294"/>
      <c r="T222" s="294"/>
      <c r="U222" s="294"/>
      <c r="V222" s="294"/>
      <c r="W222" s="294"/>
      <c r="X222" s="294"/>
      <c r="Y222" s="294"/>
      <c r="Z222" s="294"/>
      <c r="AA222" s="294"/>
      <c r="AB222" s="294"/>
      <c r="AC222" s="294"/>
      <c r="AD222" s="294"/>
      <c r="AE222" s="294"/>
      <c r="AF222" s="294"/>
      <c r="AG222" s="294"/>
      <c r="AH222" s="294"/>
      <c r="AI222" s="294"/>
      <c r="AJ222" s="295"/>
    </row>
    <row r="223" spans="1:36" hidden="1" outlineLevel="1">
      <c r="A223" s="317"/>
      <c r="B223" s="289" t="str">
        <f>DEC2HEX(HEX2DEC(B219) + 1)</f>
        <v>100415</v>
      </c>
      <c r="C223" s="12" t="str">
        <f t="shared" si="17"/>
        <v>01004150</v>
      </c>
      <c r="D223" s="20" t="s">
        <v>15</v>
      </c>
      <c r="E223" s="234" t="s">
        <v>15</v>
      </c>
      <c r="F223" s="272"/>
      <c r="G223" s="272"/>
      <c r="H223" s="272"/>
      <c r="I223" s="272"/>
      <c r="J223" s="272"/>
      <c r="K223" s="272"/>
      <c r="L223" s="272"/>
      <c r="M223" s="272"/>
      <c r="N223" s="272"/>
      <c r="O223" s="272"/>
      <c r="P223" s="272"/>
      <c r="Q223" s="272"/>
      <c r="R223" s="272"/>
      <c r="S223" s="272"/>
      <c r="T223" s="272"/>
      <c r="U223" s="272"/>
      <c r="V223" s="272"/>
      <c r="W223" s="272"/>
      <c r="X223" s="272"/>
      <c r="Y223" s="272"/>
      <c r="Z223" s="272"/>
      <c r="AA223" s="272"/>
      <c r="AB223" s="272"/>
      <c r="AC223" s="272"/>
      <c r="AD223" s="272"/>
      <c r="AE223" s="272"/>
      <c r="AF223" s="272"/>
      <c r="AG223" s="272"/>
      <c r="AH223" s="272"/>
      <c r="AI223" s="272"/>
      <c r="AJ223" s="235"/>
    </row>
    <row r="224" spans="1:36" hidden="1" outlineLevel="1">
      <c r="A224" s="317"/>
      <c r="B224" s="290"/>
      <c r="C224" s="12" t="str">
        <f t="shared" si="17"/>
        <v>01004154</v>
      </c>
      <c r="D224" s="20" t="s">
        <v>15</v>
      </c>
      <c r="E224" s="234" t="s">
        <v>15</v>
      </c>
      <c r="F224" s="272"/>
      <c r="G224" s="272"/>
      <c r="H224" s="272"/>
      <c r="I224" s="272"/>
      <c r="J224" s="272"/>
      <c r="K224" s="272"/>
      <c r="L224" s="272"/>
      <c r="M224" s="272"/>
      <c r="N224" s="272"/>
      <c r="O224" s="272"/>
      <c r="P224" s="272"/>
      <c r="Q224" s="272"/>
      <c r="R224" s="272"/>
      <c r="S224" s="272"/>
      <c r="T224" s="272"/>
      <c r="U224" s="272"/>
      <c r="V224" s="272"/>
      <c r="W224" s="272"/>
      <c r="X224" s="272"/>
      <c r="Y224" s="272"/>
      <c r="Z224" s="272"/>
      <c r="AA224" s="272"/>
      <c r="AB224" s="272"/>
      <c r="AC224" s="272"/>
      <c r="AD224" s="272"/>
      <c r="AE224" s="272"/>
      <c r="AF224" s="272"/>
      <c r="AG224" s="272"/>
      <c r="AH224" s="272"/>
      <c r="AI224" s="272"/>
      <c r="AJ224" s="235"/>
    </row>
    <row r="225" spans="1:36" hidden="1" outlineLevel="1">
      <c r="A225" s="317"/>
      <c r="B225" s="290"/>
      <c r="C225" s="12" t="str">
        <f t="shared" si="17"/>
        <v>01004158</v>
      </c>
      <c r="D225" s="20" t="s">
        <v>15</v>
      </c>
      <c r="E225" s="234" t="s">
        <v>15</v>
      </c>
      <c r="F225" s="272"/>
      <c r="G225" s="272"/>
      <c r="H225" s="272"/>
      <c r="I225" s="272"/>
      <c r="J225" s="272"/>
      <c r="K225" s="272"/>
      <c r="L225" s="272"/>
      <c r="M225" s="272"/>
      <c r="N225" s="272"/>
      <c r="O225" s="272"/>
      <c r="P225" s="272"/>
      <c r="Q225" s="272"/>
      <c r="R225" s="272"/>
      <c r="S225" s="272"/>
      <c r="T225" s="272"/>
      <c r="U225" s="272"/>
      <c r="V225" s="272"/>
      <c r="W225" s="272"/>
      <c r="X225" s="272"/>
      <c r="Y225" s="272"/>
      <c r="Z225" s="272"/>
      <c r="AA225" s="272"/>
      <c r="AB225" s="272"/>
      <c r="AC225" s="272"/>
      <c r="AD225" s="272"/>
      <c r="AE225" s="272"/>
      <c r="AF225" s="272"/>
      <c r="AG225" s="272"/>
      <c r="AH225" s="272"/>
      <c r="AI225" s="272"/>
      <c r="AJ225" s="235"/>
    </row>
    <row r="226" spans="1:36" hidden="1" outlineLevel="1">
      <c r="A226" s="317"/>
      <c r="B226" s="291"/>
      <c r="C226" s="12" t="str">
        <f t="shared" si="17"/>
        <v>0100415C</v>
      </c>
      <c r="D226" s="20" t="s">
        <v>15</v>
      </c>
      <c r="E226" s="234" t="s">
        <v>15</v>
      </c>
      <c r="F226" s="272"/>
      <c r="G226" s="272"/>
      <c r="H226" s="272"/>
      <c r="I226" s="272"/>
      <c r="J226" s="272"/>
      <c r="K226" s="272"/>
      <c r="L226" s="272"/>
      <c r="M226" s="272"/>
      <c r="N226" s="272"/>
      <c r="O226" s="272"/>
      <c r="P226" s="272"/>
      <c r="Q226" s="272"/>
      <c r="R226" s="272"/>
      <c r="S226" s="272"/>
      <c r="T226" s="272"/>
      <c r="U226" s="272"/>
      <c r="V226" s="272"/>
      <c r="W226" s="272"/>
      <c r="X226" s="272"/>
      <c r="Y226" s="272"/>
      <c r="Z226" s="272"/>
      <c r="AA226" s="272"/>
      <c r="AB226" s="272"/>
      <c r="AC226" s="272"/>
      <c r="AD226" s="272"/>
      <c r="AE226" s="272"/>
      <c r="AF226" s="272"/>
      <c r="AG226" s="272"/>
      <c r="AH226" s="272"/>
      <c r="AI226" s="272"/>
      <c r="AJ226" s="235"/>
    </row>
    <row r="227" spans="1:36" hidden="1" outlineLevel="1">
      <c r="A227" s="317"/>
      <c r="B227" s="289" t="str">
        <f>DEC2HEX(HEX2DEC(B223) + 1)</f>
        <v>100416</v>
      </c>
      <c r="C227" s="12" t="str">
        <f t="shared" si="17"/>
        <v>01004160</v>
      </c>
      <c r="D227" s="296" t="s">
        <v>585</v>
      </c>
      <c r="E227" s="299" t="s">
        <v>586</v>
      </c>
      <c r="F227" s="300"/>
      <c r="G227" s="300"/>
      <c r="H227" s="300"/>
      <c r="I227" s="300"/>
      <c r="J227" s="300"/>
      <c r="K227" s="300"/>
      <c r="L227" s="300"/>
      <c r="M227" s="300"/>
      <c r="N227" s="300"/>
      <c r="O227" s="300"/>
      <c r="P227" s="300"/>
      <c r="Q227" s="300"/>
      <c r="R227" s="300"/>
      <c r="S227" s="300"/>
      <c r="T227" s="300"/>
      <c r="U227" s="300"/>
      <c r="V227" s="300"/>
      <c r="W227" s="300"/>
      <c r="X227" s="300"/>
      <c r="Y227" s="300"/>
      <c r="Z227" s="300"/>
      <c r="AA227" s="300"/>
      <c r="AB227" s="300"/>
      <c r="AC227" s="300"/>
      <c r="AD227" s="300"/>
      <c r="AE227" s="300"/>
      <c r="AF227" s="300"/>
      <c r="AG227" s="300"/>
      <c r="AH227" s="300"/>
      <c r="AI227" s="300"/>
      <c r="AJ227" s="301"/>
    </row>
    <row r="228" spans="1:36" hidden="1" outlineLevel="1">
      <c r="A228" s="317"/>
      <c r="B228" s="290"/>
      <c r="C228" s="12" t="str">
        <f t="shared" si="17"/>
        <v>01004164</v>
      </c>
      <c r="D228" s="297"/>
      <c r="E228" s="302"/>
      <c r="F228" s="303"/>
      <c r="G228" s="303"/>
      <c r="H228" s="303"/>
      <c r="I228" s="303"/>
      <c r="J228" s="303"/>
      <c r="K228" s="303"/>
      <c r="L228" s="303"/>
      <c r="M228" s="303"/>
      <c r="N228" s="303"/>
      <c r="O228" s="303"/>
      <c r="P228" s="303"/>
      <c r="Q228" s="303"/>
      <c r="R228" s="303"/>
      <c r="S228" s="303"/>
      <c r="T228" s="303"/>
      <c r="U228" s="303"/>
      <c r="V228" s="303"/>
      <c r="W228" s="303"/>
      <c r="X228" s="303"/>
      <c r="Y228" s="303"/>
      <c r="Z228" s="303"/>
      <c r="AA228" s="303"/>
      <c r="AB228" s="303"/>
      <c r="AC228" s="303"/>
      <c r="AD228" s="303"/>
      <c r="AE228" s="303"/>
      <c r="AF228" s="303"/>
      <c r="AG228" s="303"/>
      <c r="AH228" s="303"/>
      <c r="AI228" s="303"/>
      <c r="AJ228" s="304"/>
    </row>
    <row r="229" spans="1:36" hidden="1" outlineLevel="1">
      <c r="A229" s="317"/>
      <c r="B229" s="290"/>
      <c r="C229" s="12" t="str">
        <f t="shared" si="17"/>
        <v>01004168</v>
      </c>
      <c r="D229" s="297"/>
      <c r="E229" s="302"/>
      <c r="F229" s="303"/>
      <c r="G229" s="303"/>
      <c r="H229" s="303"/>
      <c r="I229" s="303"/>
      <c r="J229" s="303"/>
      <c r="K229" s="303"/>
      <c r="L229" s="303"/>
      <c r="M229" s="303"/>
      <c r="N229" s="303"/>
      <c r="O229" s="303"/>
      <c r="P229" s="303"/>
      <c r="Q229" s="303"/>
      <c r="R229" s="303"/>
      <c r="S229" s="303"/>
      <c r="T229" s="303"/>
      <c r="U229" s="303"/>
      <c r="V229" s="303"/>
      <c r="W229" s="303"/>
      <c r="X229" s="303"/>
      <c r="Y229" s="303"/>
      <c r="Z229" s="303"/>
      <c r="AA229" s="303"/>
      <c r="AB229" s="303"/>
      <c r="AC229" s="303"/>
      <c r="AD229" s="303"/>
      <c r="AE229" s="303"/>
      <c r="AF229" s="303"/>
      <c r="AG229" s="303"/>
      <c r="AH229" s="303"/>
      <c r="AI229" s="303"/>
      <c r="AJ229" s="304"/>
    </row>
    <row r="230" spans="1:36" hidden="1" outlineLevel="1">
      <c r="A230" s="317"/>
      <c r="B230" s="291"/>
      <c r="C230" s="12" t="str">
        <f t="shared" si="17"/>
        <v>0100416C</v>
      </c>
      <c r="D230" s="297"/>
      <c r="E230" s="302"/>
      <c r="F230" s="303"/>
      <c r="G230" s="303"/>
      <c r="H230" s="303"/>
      <c r="I230" s="303"/>
      <c r="J230" s="303"/>
      <c r="K230" s="303"/>
      <c r="L230" s="303"/>
      <c r="M230" s="303"/>
      <c r="N230" s="303"/>
      <c r="O230" s="303"/>
      <c r="P230" s="303"/>
      <c r="Q230" s="303"/>
      <c r="R230" s="303"/>
      <c r="S230" s="303"/>
      <c r="T230" s="303"/>
      <c r="U230" s="303"/>
      <c r="V230" s="303"/>
      <c r="W230" s="303"/>
      <c r="X230" s="303"/>
      <c r="Y230" s="303"/>
      <c r="Z230" s="303"/>
      <c r="AA230" s="303"/>
      <c r="AB230" s="303"/>
      <c r="AC230" s="303"/>
      <c r="AD230" s="303"/>
      <c r="AE230" s="303"/>
      <c r="AF230" s="303"/>
      <c r="AG230" s="303"/>
      <c r="AH230" s="303"/>
      <c r="AI230" s="303"/>
      <c r="AJ230" s="304"/>
    </row>
    <row r="231" spans="1:36" hidden="1" outlineLevel="1">
      <c r="A231" s="317"/>
      <c r="B231" s="289" t="str">
        <f>DEC2HEX(HEX2DEC(B227) + 1)</f>
        <v>100417</v>
      </c>
      <c r="C231" s="12" t="str">
        <f t="shared" si="17"/>
        <v>01004170</v>
      </c>
      <c r="D231" s="297"/>
      <c r="E231" s="302"/>
      <c r="F231" s="303"/>
      <c r="G231" s="303"/>
      <c r="H231" s="303"/>
      <c r="I231" s="303"/>
      <c r="J231" s="303"/>
      <c r="K231" s="303"/>
      <c r="L231" s="303"/>
      <c r="M231" s="303"/>
      <c r="N231" s="303"/>
      <c r="O231" s="303"/>
      <c r="P231" s="303"/>
      <c r="Q231" s="303"/>
      <c r="R231" s="303"/>
      <c r="S231" s="303"/>
      <c r="T231" s="303"/>
      <c r="U231" s="303"/>
      <c r="V231" s="303"/>
      <c r="W231" s="303"/>
      <c r="X231" s="303"/>
      <c r="Y231" s="303"/>
      <c r="Z231" s="303"/>
      <c r="AA231" s="303"/>
      <c r="AB231" s="303"/>
      <c r="AC231" s="303"/>
      <c r="AD231" s="303"/>
      <c r="AE231" s="303"/>
      <c r="AF231" s="303"/>
      <c r="AG231" s="303"/>
      <c r="AH231" s="303"/>
      <c r="AI231" s="303"/>
      <c r="AJ231" s="304"/>
    </row>
    <row r="232" spans="1:36" hidden="1" outlineLevel="1">
      <c r="A232" s="317"/>
      <c r="B232" s="290"/>
      <c r="C232" s="12" t="str">
        <f t="shared" si="17"/>
        <v>01004174</v>
      </c>
      <c r="D232" s="297"/>
      <c r="E232" s="302"/>
      <c r="F232" s="303"/>
      <c r="G232" s="303"/>
      <c r="H232" s="303"/>
      <c r="I232" s="303"/>
      <c r="J232" s="303"/>
      <c r="K232" s="303"/>
      <c r="L232" s="303"/>
      <c r="M232" s="303"/>
      <c r="N232" s="303"/>
      <c r="O232" s="303"/>
      <c r="P232" s="303"/>
      <c r="Q232" s="303"/>
      <c r="R232" s="303"/>
      <c r="S232" s="303"/>
      <c r="T232" s="303"/>
      <c r="U232" s="303"/>
      <c r="V232" s="303"/>
      <c r="W232" s="303"/>
      <c r="X232" s="303"/>
      <c r="Y232" s="303"/>
      <c r="Z232" s="303"/>
      <c r="AA232" s="303"/>
      <c r="AB232" s="303"/>
      <c r="AC232" s="303"/>
      <c r="AD232" s="303"/>
      <c r="AE232" s="303"/>
      <c r="AF232" s="303"/>
      <c r="AG232" s="303"/>
      <c r="AH232" s="303"/>
      <c r="AI232" s="303"/>
      <c r="AJ232" s="304"/>
    </row>
    <row r="233" spans="1:36" hidden="1" outlineLevel="1">
      <c r="A233" s="317"/>
      <c r="B233" s="290"/>
      <c r="C233" s="12" t="str">
        <f t="shared" si="17"/>
        <v>01004178</v>
      </c>
      <c r="D233" s="297"/>
      <c r="E233" s="302"/>
      <c r="F233" s="303"/>
      <c r="G233" s="303"/>
      <c r="H233" s="303"/>
      <c r="I233" s="303"/>
      <c r="J233" s="303"/>
      <c r="K233" s="303"/>
      <c r="L233" s="303"/>
      <c r="M233" s="303"/>
      <c r="N233" s="303"/>
      <c r="O233" s="303"/>
      <c r="P233" s="303"/>
      <c r="Q233" s="303"/>
      <c r="R233" s="303"/>
      <c r="S233" s="303"/>
      <c r="T233" s="303"/>
      <c r="U233" s="303"/>
      <c r="V233" s="303"/>
      <c r="W233" s="303"/>
      <c r="X233" s="303"/>
      <c r="Y233" s="303"/>
      <c r="Z233" s="303"/>
      <c r="AA233" s="303"/>
      <c r="AB233" s="303"/>
      <c r="AC233" s="303"/>
      <c r="AD233" s="303"/>
      <c r="AE233" s="303"/>
      <c r="AF233" s="303"/>
      <c r="AG233" s="303"/>
      <c r="AH233" s="303"/>
      <c r="AI233" s="303"/>
      <c r="AJ233" s="304"/>
    </row>
    <row r="234" spans="1:36" hidden="1" outlineLevel="1">
      <c r="A234" s="317"/>
      <c r="B234" s="291"/>
      <c r="C234" s="12" t="str">
        <f t="shared" si="17"/>
        <v>0100417C</v>
      </c>
      <c r="D234" s="297"/>
      <c r="E234" s="302"/>
      <c r="F234" s="303"/>
      <c r="G234" s="303"/>
      <c r="H234" s="303"/>
      <c r="I234" s="303"/>
      <c r="J234" s="303"/>
      <c r="K234" s="303"/>
      <c r="L234" s="303"/>
      <c r="M234" s="303"/>
      <c r="N234" s="303"/>
      <c r="O234" s="303"/>
      <c r="P234" s="303"/>
      <c r="Q234" s="303"/>
      <c r="R234" s="303"/>
      <c r="S234" s="303"/>
      <c r="T234" s="303"/>
      <c r="U234" s="303"/>
      <c r="V234" s="303"/>
      <c r="W234" s="303"/>
      <c r="X234" s="303"/>
      <c r="Y234" s="303"/>
      <c r="Z234" s="303"/>
      <c r="AA234" s="303"/>
      <c r="AB234" s="303"/>
      <c r="AC234" s="303"/>
      <c r="AD234" s="303"/>
      <c r="AE234" s="303"/>
      <c r="AF234" s="303"/>
      <c r="AG234" s="303"/>
      <c r="AH234" s="303"/>
      <c r="AI234" s="303"/>
      <c r="AJ234" s="304"/>
    </row>
    <row r="235" spans="1:36" hidden="1" outlineLevel="1">
      <c r="A235" s="317"/>
      <c r="B235" s="289" t="str">
        <f>DEC2HEX(HEX2DEC(B231) + 1)</f>
        <v>100418</v>
      </c>
      <c r="C235" s="12" t="str">
        <f t="shared" si="17"/>
        <v>01004180</v>
      </c>
      <c r="D235" s="297"/>
      <c r="E235" s="302"/>
      <c r="F235" s="305"/>
      <c r="G235" s="305"/>
      <c r="H235" s="305"/>
      <c r="I235" s="305"/>
      <c r="J235" s="305"/>
      <c r="K235" s="305"/>
      <c r="L235" s="305"/>
      <c r="M235" s="305"/>
      <c r="N235" s="305"/>
      <c r="O235" s="305"/>
      <c r="P235" s="305"/>
      <c r="Q235" s="305"/>
      <c r="R235" s="305"/>
      <c r="S235" s="305"/>
      <c r="T235" s="305"/>
      <c r="U235" s="305"/>
      <c r="V235" s="305"/>
      <c r="W235" s="305"/>
      <c r="X235" s="305"/>
      <c r="Y235" s="305"/>
      <c r="Z235" s="305"/>
      <c r="AA235" s="305"/>
      <c r="AB235" s="305"/>
      <c r="AC235" s="305"/>
      <c r="AD235" s="305"/>
      <c r="AE235" s="305"/>
      <c r="AF235" s="305"/>
      <c r="AG235" s="305"/>
      <c r="AH235" s="305"/>
      <c r="AI235" s="305"/>
      <c r="AJ235" s="304"/>
    </row>
    <row r="236" spans="1:36" hidden="1" outlineLevel="1">
      <c r="A236" s="317"/>
      <c r="B236" s="290"/>
      <c r="C236" s="12" t="str">
        <f t="shared" si="17"/>
        <v>01004184</v>
      </c>
      <c r="D236" s="297"/>
      <c r="E236" s="306"/>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8"/>
    </row>
    <row r="237" spans="1:36" hidden="1" outlineLevel="1">
      <c r="A237" s="317"/>
      <c r="B237" s="290"/>
      <c r="C237" s="12" t="str">
        <f t="shared" si="17"/>
        <v>01004188</v>
      </c>
      <c r="D237" s="297"/>
      <c r="E237" s="306"/>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87"/>
      <c r="AH237" s="287"/>
      <c r="AI237" s="287"/>
      <c r="AJ237" s="288"/>
    </row>
    <row r="238" spans="1:36" hidden="1" outlineLevel="1">
      <c r="A238" s="317"/>
      <c r="B238" s="291"/>
      <c r="C238" s="12" t="str">
        <f t="shared" si="17"/>
        <v>0100418C</v>
      </c>
      <c r="D238" s="298"/>
      <c r="E238" s="307"/>
      <c r="F238" s="308"/>
      <c r="G238" s="308"/>
      <c r="H238" s="308"/>
      <c r="I238" s="308"/>
      <c r="J238" s="308"/>
      <c r="K238" s="308"/>
      <c r="L238" s="308"/>
      <c r="M238" s="308"/>
      <c r="N238" s="308"/>
      <c r="O238" s="308"/>
      <c r="P238" s="308"/>
      <c r="Q238" s="308"/>
      <c r="R238" s="308"/>
      <c r="S238" s="308"/>
      <c r="T238" s="308"/>
      <c r="U238" s="308"/>
      <c r="V238" s="308"/>
      <c r="W238" s="308"/>
      <c r="X238" s="308"/>
      <c r="Y238" s="308"/>
      <c r="Z238" s="308"/>
      <c r="AA238" s="308"/>
      <c r="AB238" s="308"/>
      <c r="AC238" s="308"/>
      <c r="AD238" s="308"/>
      <c r="AE238" s="308"/>
      <c r="AF238" s="308"/>
      <c r="AG238" s="308"/>
      <c r="AH238" s="308"/>
      <c r="AI238" s="308"/>
      <c r="AJ238" s="309"/>
    </row>
    <row r="239" spans="1:36" hidden="1" outlineLevel="1">
      <c r="A239" s="317"/>
      <c r="B239" s="289" t="str">
        <f>DEC2HEX(HEX2DEC(B235) + 1)</f>
        <v>100419</v>
      </c>
      <c r="C239" s="12" t="str">
        <f t="shared" si="17"/>
        <v>01004190</v>
      </c>
      <c r="D239" s="20" t="s">
        <v>15</v>
      </c>
      <c r="E239" s="234" t="s">
        <v>15</v>
      </c>
      <c r="F239" s="272"/>
      <c r="G239" s="272"/>
      <c r="H239" s="272"/>
      <c r="I239" s="272"/>
      <c r="J239" s="272"/>
      <c r="K239" s="272"/>
      <c r="L239" s="272"/>
      <c r="M239" s="272"/>
      <c r="N239" s="272"/>
      <c r="O239" s="272"/>
      <c r="P239" s="272"/>
      <c r="Q239" s="272"/>
      <c r="R239" s="272"/>
      <c r="S239" s="272"/>
      <c r="T239" s="272"/>
      <c r="U239" s="272"/>
      <c r="V239" s="272"/>
      <c r="W239" s="272"/>
      <c r="X239" s="272"/>
      <c r="Y239" s="272"/>
      <c r="Z239" s="272"/>
      <c r="AA239" s="272"/>
      <c r="AB239" s="272"/>
      <c r="AC239" s="272"/>
      <c r="AD239" s="272"/>
      <c r="AE239" s="272"/>
      <c r="AF239" s="272"/>
      <c r="AG239" s="272"/>
      <c r="AH239" s="272"/>
      <c r="AI239" s="272"/>
      <c r="AJ239" s="235"/>
    </row>
    <row r="240" spans="1:36" hidden="1" outlineLevel="1">
      <c r="A240" s="317"/>
      <c r="B240" s="290"/>
      <c r="C240" s="12" t="str">
        <f t="shared" si="17"/>
        <v>01004194</v>
      </c>
      <c r="D240" s="20" t="s">
        <v>15</v>
      </c>
      <c r="E240" s="234" t="s">
        <v>15</v>
      </c>
      <c r="F240" s="272"/>
      <c r="G240" s="272"/>
      <c r="H240" s="272"/>
      <c r="I240" s="272"/>
      <c r="J240" s="272"/>
      <c r="K240" s="272"/>
      <c r="L240" s="272"/>
      <c r="M240" s="272"/>
      <c r="N240" s="272"/>
      <c r="O240" s="272"/>
      <c r="P240" s="272"/>
      <c r="Q240" s="272"/>
      <c r="R240" s="272"/>
      <c r="S240" s="272"/>
      <c r="T240" s="272"/>
      <c r="U240" s="272"/>
      <c r="V240" s="272"/>
      <c r="W240" s="272"/>
      <c r="X240" s="272"/>
      <c r="Y240" s="272"/>
      <c r="Z240" s="272"/>
      <c r="AA240" s="272"/>
      <c r="AB240" s="272"/>
      <c r="AC240" s="272"/>
      <c r="AD240" s="272"/>
      <c r="AE240" s="272"/>
      <c r="AF240" s="272"/>
      <c r="AG240" s="272"/>
      <c r="AH240" s="272"/>
      <c r="AI240" s="272"/>
      <c r="AJ240" s="235"/>
    </row>
    <row r="241" spans="1:36" hidden="1" outlineLevel="1">
      <c r="A241" s="317"/>
      <c r="B241" s="290"/>
      <c r="C241" s="12" t="str">
        <f t="shared" si="17"/>
        <v>01004198</v>
      </c>
      <c r="D241" s="20" t="s">
        <v>15</v>
      </c>
      <c r="E241" s="234" t="s">
        <v>15</v>
      </c>
      <c r="F241" s="272"/>
      <c r="G241" s="272"/>
      <c r="H241" s="272"/>
      <c r="I241" s="272"/>
      <c r="J241" s="272"/>
      <c r="K241" s="272"/>
      <c r="L241" s="272"/>
      <c r="M241" s="272"/>
      <c r="N241" s="272"/>
      <c r="O241" s="272"/>
      <c r="P241" s="272"/>
      <c r="Q241" s="272"/>
      <c r="R241" s="272"/>
      <c r="S241" s="272"/>
      <c r="T241" s="272"/>
      <c r="U241" s="272"/>
      <c r="V241" s="272"/>
      <c r="W241" s="272"/>
      <c r="X241" s="272"/>
      <c r="Y241" s="272"/>
      <c r="Z241" s="272"/>
      <c r="AA241" s="272"/>
      <c r="AB241" s="272"/>
      <c r="AC241" s="272"/>
      <c r="AD241" s="272"/>
      <c r="AE241" s="272"/>
      <c r="AF241" s="272"/>
      <c r="AG241" s="272"/>
      <c r="AH241" s="272"/>
      <c r="AI241" s="272"/>
      <c r="AJ241" s="235"/>
    </row>
    <row r="242" spans="1:36" hidden="1" outlineLevel="1">
      <c r="A242" s="317"/>
      <c r="B242" s="291"/>
      <c r="C242" s="12" t="str">
        <f t="shared" si="17"/>
        <v>0100419C</v>
      </c>
      <c r="D242" s="20" t="s">
        <v>15</v>
      </c>
      <c r="E242" s="234" t="s">
        <v>15</v>
      </c>
      <c r="F242" s="272"/>
      <c r="G242" s="272"/>
      <c r="H242" s="272"/>
      <c r="I242" s="272"/>
      <c r="J242" s="272"/>
      <c r="K242" s="272"/>
      <c r="L242" s="272"/>
      <c r="M242" s="272"/>
      <c r="N242" s="272"/>
      <c r="O242" s="272"/>
      <c r="P242" s="272"/>
      <c r="Q242" s="272"/>
      <c r="R242" s="272"/>
      <c r="S242" s="272"/>
      <c r="T242" s="272"/>
      <c r="U242" s="272"/>
      <c r="V242" s="272"/>
      <c r="W242" s="272"/>
      <c r="X242" s="272"/>
      <c r="Y242" s="272"/>
      <c r="Z242" s="272"/>
      <c r="AA242" s="272"/>
      <c r="AB242" s="272"/>
      <c r="AC242" s="272"/>
      <c r="AD242" s="272"/>
      <c r="AE242" s="272"/>
      <c r="AF242" s="272"/>
      <c r="AG242" s="272"/>
      <c r="AH242" s="272"/>
      <c r="AI242" s="272"/>
      <c r="AJ242" s="235"/>
    </row>
    <row r="243" spans="1:36" hidden="1" outlineLevel="1">
      <c r="A243" s="317"/>
      <c r="B243" s="289" t="str">
        <f>DEC2HEX(HEX2DEC(B239) + 1)</f>
        <v>10041A</v>
      </c>
      <c r="C243" s="12" t="str">
        <f t="shared" si="17"/>
        <v>010041A0</v>
      </c>
      <c r="D243" s="20" t="s">
        <v>15</v>
      </c>
      <c r="E243" s="234" t="s">
        <v>15</v>
      </c>
      <c r="F243" s="272"/>
      <c r="G243" s="272"/>
      <c r="H243" s="272"/>
      <c r="I243" s="272"/>
      <c r="J243" s="272"/>
      <c r="K243" s="272"/>
      <c r="L243" s="272"/>
      <c r="M243" s="272"/>
      <c r="N243" s="272"/>
      <c r="O243" s="272"/>
      <c r="P243" s="272"/>
      <c r="Q243" s="272"/>
      <c r="R243" s="272"/>
      <c r="S243" s="272"/>
      <c r="T243" s="272"/>
      <c r="U243" s="272"/>
      <c r="V243" s="272"/>
      <c r="W243" s="272"/>
      <c r="X243" s="272"/>
      <c r="Y243" s="272"/>
      <c r="Z243" s="272"/>
      <c r="AA243" s="272"/>
      <c r="AB243" s="272"/>
      <c r="AC243" s="272"/>
      <c r="AD243" s="272"/>
      <c r="AE243" s="272"/>
      <c r="AF243" s="272"/>
      <c r="AG243" s="272"/>
      <c r="AH243" s="272"/>
      <c r="AI243" s="272"/>
      <c r="AJ243" s="235"/>
    </row>
    <row r="244" spans="1:36" hidden="1" outlineLevel="1">
      <c r="A244" s="317"/>
      <c r="B244" s="290"/>
      <c r="C244" s="12" t="str">
        <f t="shared" si="17"/>
        <v>010041A4</v>
      </c>
      <c r="D244" s="20" t="s">
        <v>15</v>
      </c>
      <c r="E244" s="234" t="s">
        <v>15</v>
      </c>
      <c r="F244" s="272"/>
      <c r="G244" s="272"/>
      <c r="H244" s="272"/>
      <c r="I244" s="272"/>
      <c r="J244" s="272"/>
      <c r="K244" s="272"/>
      <c r="L244" s="272"/>
      <c r="M244" s="272"/>
      <c r="N244" s="272"/>
      <c r="O244" s="272"/>
      <c r="P244" s="272"/>
      <c r="Q244" s="272"/>
      <c r="R244" s="272"/>
      <c r="S244" s="272"/>
      <c r="T244" s="272"/>
      <c r="U244" s="272"/>
      <c r="V244" s="272"/>
      <c r="W244" s="272"/>
      <c r="X244" s="272"/>
      <c r="Y244" s="272"/>
      <c r="Z244" s="272"/>
      <c r="AA244" s="272"/>
      <c r="AB244" s="272"/>
      <c r="AC244" s="272"/>
      <c r="AD244" s="272"/>
      <c r="AE244" s="272"/>
      <c r="AF244" s="272"/>
      <c r="AG244" s="272"/>
      <c r="AH244" s="272"/>
      <c r="AI244" s="272"/>
      <c r="AJ244" s="235"/>
    </row>
    <row r="245" spans="1:36" hidden="1" outlineLevel="1">
      <c r="A245" s="317"/>
      <c r="B245" s="290"/>
      <c r="C245" s="12" t="str">
        <f t="shared" si="17"/>
        <v>010041A8</v>
      </c>
      <c r="D245" s="20" t="s">
        <v>15</v>
      </c>
      <c r="E245" s="234" t="s">
        <v>15</v>
      </c>
      <c r="F245" s="272"/>
      <c r="G245" s="272"/>
      <c r="H245" s="272"/>
      <c r="I245" s="272"/>
      <c r="J245" s="272"/>
      <c r="K245" s="272"/>
      <c r="L245" s="272"/>
      <c r="M245" s="272"/>
      <c r="N245" s="272"/>
      <c r="O245" s="272"/>
      <c r="P245" s="272"/>
      <c r="Q245" s="272"/>
      <c r="R245" s="272"/>
      <c r="S245" s="272"/>
      <c r="T245" s="272"/>
      <c r="U245" s="272"/>
      <c r="V245" s="272"/>
      <c r="W245" s="272"/>
      <c r="X245" s="272"/>
      <c r="Y245" s="272"/>
      <c r="Z245" s="272"/>
      <c r="AA245" s="272"/>
      <c r="AB245" s="272"/>
      <c r="AC245" s="272"/>
      <c r="AD245" s="272"/>
      <c r="AE245" s="272"/>
      <c r="AF245" s="272"/>
      <c r="AG245" s="272"/>
      <c r="AH245" s="272"/>
      <c r="AI245" s="272"/>
      <c r="AJ245" s="235"/>
    </row>
    <row r="246" spans="1:36" hidden="1" outlineLevel="1">
      <c r="A246" s="317"/>
      <c r="B246" s="291"/>
      <c r="C246" s="12" t="str">
        <f t="shared" si="17"/>
        <v>010041AC</v>
      </c>
      <c r="D246" s="20" t="s">
        <v>15</v>
      </c>
      <c r="E246" s="234" t="s">
        <v>15</v>
      </c>
      <c r="F246" s="272"/>
      <c r="G246" s="272"/>
      <c r="H246" s="272"/>
      <c r="I246" s="272"/>
      <c r="J246" s="272"/>
      <c r="K246" s="272"/>
      <c r="L246" s="272"/>
      <c r="M246" s="272"/>
      <c r="N246" s="272"/>
      <c r="O246" s="272"/>
      <c r="P246" s="272"/>
      <c r="Q246" s="272"/>
      <c r="R246" s="272"/>
      <c r="S246" s="272"/>
      <c r="T246" s="272"/>
      <c r="U246" s="272"/>
      <c r="V246" s="272"/>
      <c r="W246" s="272"/>
      <c r="X246" s="272"/>
      <c r="Y246" s="272"/>
      <c r="Z246" s="272"/>
      <c r="AA246" s="272"/>
      <c r="AB246" s="272"/>
      <c r="AC246" s="272"/>
      <c r="AD246" s="272"/>
      <c r="AE246" s="272"/>
      <c r="AF246" s="272"/>
      <c r="AG246" s="272"/>
      <c r="AH246" s="272"/>
      <c r="AI246" s="272"/>
      <c r="AJ246" s="235"/>
    </row>
    <row r="247" spans="1:36" hidden="1" outlineLevel="1">
      <c r="A247" s="317"/>
      <c r="B247" s="289" t="str">
        <f>DEC2HEX(HEX2DEC(B243) + 1)</f>
        <v>10041B</v>
      </c>
      <c r="C247" s="12" t="str">
        <f t="shared" si="17"/>
        <v>010041B0</v>
      </c>
      <c r="D247" s="20" t="s">
        <v>15</v>
      </c>
      <c r="E247" s="234" t="s">
        <v>15</v>
      </c>
      <c r="F247" s="272"/>
      <c r="G247" s="272"/>
      <c r="H247" s="272"/>
      <c r="I247" s="272"/>
      <c r="J247" s="272"/>
      <c r="K247" s="272"/>
      <c r="L247" s="272"/>
      <c r="M247" s="272"/>
      <c r="N247" s="272"/>
      <c r="O247" s="272"/>
      <c r="P247" s="272"/>
      <c r="Q247" s="272"/>
      <c r="R247" s="272"/>
      <c r="S247" s="272"/>
      <c r="T247" s="272"/>
      <c r="U247" s="272"/>
      <c r="V247" s="272"/>
      <c r="W247" s="272"/>
      <c r="X247" s="272"/>
      <c r="Y247" s="272"/>
      <c r="Z247" s="272"/>
      <c r="AA247" s="272"/>
      <c r="AB247" s="272"/>
      <c r="AC247" s="272"/>
      <c r="AD247" s="272"/>
      <c r="AE247" s="272"/>
      <c r="AF247" s="272"/>
      <c r="AG247" s="272"/>
      <c r="AH247" s="272"/>
      <c r="AI247" s="272"/>
      <c r="AJ247" s="235"/>
    </row>
    <row r="248" spans="1:36" hidden="1" outlineLevel="1">
      <c r="A248" s="317"/>
      <c r="B248" s="290"/>
      <c r="C248" s="12" t="str">
        <f t="shared" si="17"/>
        <v>010041B4</v>
      </c>
      <c r="D248" s="20" t="s">
        <v>15</v>
      </c>
      <c r="E248" s="234" t="s">
        <v>15</v>
      </c>
      <c r="F248" s="272"/>
      <c r="G248" s="272"/>
      <c r="H248" s="272"/>
      <c r="I248" s="272"/>
      <c r="J248" s="272"/>
      <c r="K248" s="272"/>
      <c r="L248" s="272"/>
      <c r="M248" s="272"/>
      <c r="N248" s="272"/>
      <c r="O248" s="272"/>
      <c r="P248" s="272"/>
      <c r="Q248" s="272"/>
      <c r="R248" s="272"/>
      <c r="S248" s="272"/>
      <c r="T248" s="272"/>
      <c r="U248" s="272"/>
      <c r="V248" s="272"/>
      <c r="W248" s="272"/>
      <c r="X248" s="272"/>
      <c r="Y248" s="272"/>
      <c r="Z248" s="272"/>
      <c r="AA248" s="272"/>
      <c r="AB248" s="272"/>
      <c r="AC248" s="272"/>
      <c r="AD248" s="272"/>
      <c r="AE248" s="272"/>
      <c r="AF248" s="272"/>
      <c r="AG248" s="272"/>
      <c r="AH248" s="272"/>
      <c r="AI248" s="272"/>
      <c r="AJ248" s="235"/>
    </row>
    <row r="249" spans="1:36" hidden="1" outlineLevel="1">
      <c r="A249" s="317"/>
      <c r="B249" s="290"/>
      <c r="C249" s="12" t="str">
        <f t="shared" si="17"/>
        <v>010041B8</v>
      </c>
      <c r="D249" s="20" t="s">
        <v>15</v>
      </c>
      <c r="E249" s="234" t="s">
        <v>15</v>
      </c>
      <c r="F249" s="272"/>
      <c r="G249" s="272"/>
      <c r="H249" s="272"/>
      <c r="I249" s="272"/>
      <c r="J249" s="272"/>
      <c r="K249" s="272"/>
      <c r="L249" s="272"/>
      <c r="M249" s="272"/>
      <c r="N249" s="272"/>
      <c r="O249" s="272"/>
      <c r="P249" s="272"/>
      <c r="Q249" s="272"/>
      <c r="R249" s="272"/>
      <c r="S249" s="272"/>
      <c r="T249" s="272"/>
      <c r="U249" s="272"/>
      <c r="V249" s="272"/>
      <c r="W249" s="272"/>
      <c r="X249" s="272"/>
      <c r="Y249" s="272"/>
      <c r="Z249" s="272"/>
      <c r="AA249" s="272"/>
      <c r="AB249" s="272"/>
      <c r="AC249" s="272"/>
      <c r="AD249" s="272"/>
      <c r="AE249" s="272"/>
      <c r="AF249" s="272"/>
      <c r="AG249" s="272"/>
      <c r="AH249" s="272"/>
      <c r="AI249" s="272"/>
      <c r="AJ249" s="235"/>
    </row>
    <row r="250" spans="1:36" hidden="1" outlineLevel="1">
      <c r="A250" s="317"/>
      <c r="B250" s="291"/>
      <c r="C250" s="12" t="str">
        <f t="shared" si="17"/>
        <v>010041BC</v>
      </c>
      <c r="D250" s="20" t="s">
        <v>15</v>
      </c>
      <c r="E250" s="234" t="s">
        <v>15</v>
      </c>
      <c r="F250" s="272"/>
      <c r="G250" s="272"/>
      <c r="H250" s="272"/>
      <c r="I250" s="272"/>
      <c r="J250" s="272"/>
      <c r="K250" s="272"/>
      <c r="L250" s="272"/>
      <c r="M250" s="272"/>
      <c r="N250" s="272"/>
      <c r="O250" s="272"/>
      <c r="P250" s="272"/>
      <c r="Q250" s="272"/>
      <c r="R250" s="272"/>
      <c r="S250" s="272"/>
      <c r="T250" s="272"/>
      <c r="U250" s="272"/>
      <c r="V250" s="272"/>
      <c r="W250" s="272"/>
      <c r="X250" s="272"/>
      <c r="Y250" s="272"/>
      <c r="Z250" s="272"/>
      <c r="AA250" s="272"/>
      <c r="AB250" s="272"/>
      <c r="AC250" s="272"/>
      <c r="AD250" s="272"/>
      <c r="AE250" s="272"/>
      <c r="AF250" s="272"/>
      <c r="AG250" s="272"/>
      <c r="AH250" s="272"/>
      <c r="AI250" s="272"/>
      <c r="AJ250" s="235"/>
    </row>
    <row r="251" spans="1:36" hidden="1" outlineLevel="1">
      <c r="A251" s="317"/>
      <c r="B251" s="289" t="str">
        <f>DEC2HEX(HEX2DEC(B247) + 1)</f>
        <v>10041C</v>
      </c>
      <c r="C251" s="12" t="str">
        <f t="shared" si="17"/>
        <v>010041C0</v>
      </c>
      <c r="D251" s="20" t="s">
        <v>15</v>
      </c>
      <c r="E251" s="234" t="s">
        <v>15</v>
      </c>
      <c r="F251" s="272"/>
      <c r="G251" s="272"/>
      <c r="H251" s="272"/>
      <c r="I251" s="272"/>
      <c r="J251" s="272"/>
      <c r="K251" s="272"/>
      <c r="L251" s="272"/>
      <c r="M251" s="272"/>
      <c r="N251" s="272"/>
      <c r="O251" s="272"/>
      <c r="P251" s="272"/>
      <c r="Q251" s="272"/>
      <c r="R251" s="272"/>
      <c r="S251" s="272"/>
      <c r="T251" s="272"/>
      <c r="U251" s="272"/>
      <c r="V251" s="272"/>
      <c r="W251" s="272"/>
      <c r="X251" s="272"/>
      <c r="Y251" s="272"/>
      <c r="Z251" s="272"/>
      <c r="AA251" s="272"/>
      <c r="AB251" s="272"/>
      <c r="AC251" s="272"/>
      <c r="AD251" s="272"/>
      <c r="AE251" s="272"/>
      <c r="AF251" s="272"/>
      <c r="AG251" s="272"/>
      <c r="AH251" s="272"/>
      <c r="AI251" s="272"/>
      <c r="AJ251" s="235"/>
    </row>
    <row r="252" spans="1:36" hidden="1" outlineLevel="1">
      <c r="A252" s="317"/>
      <c r="B252" s="290"/>
      <c r="C252" s="12" t="str">
        <f t="shared" si="17"/>
        <v>010041C4</v>
      </c>
      <c r="D252" s="20" t="s">
        <v>15</v>
      </c>
      <c r="E252" s="234" t="s">
        <v>15</v>
      </c>
      <c r="F252" s="272"/>
      <c r="G252" s="272"/>
      <c r="H252" s="272"/>
      <c r="I252" s="272"/>
      <c r="J252" s="272"/>
      <c r="K252" s="272"/>
      <c r="L252" s="272"/>
      <c r="M252" s="272"/>
      <c r="N252" s="272"/>
      <c r="O252" s="272"/>
      <c r="P252" s="272"/>
      <c r="Q252" s="272"/>
      <c r="R252" s="272"/>
      <c r="S252" s="272"/>
      <c r="T252" s="272"/>
      <c r="U252" s="272"/>
      <c r="V252" s="272"/>
      <c r="W252" s="272"/>
      <c r="X252" s="272"/>
      <c r="Y252" s="272"/>
      <c r="Z252" s="272"/>
      <c r="AA252" s="272"/>
      <c r="AB252" s="272"/>
      <c r="AC252" s="272"/>
      <c r="AD252" s="272"/>
      <c r="AE252" s="272"/>
      <c r="AF252" s="272"/>
      <c r="AG252" s="272"/>
      <c r="AH252" s="272"/>
      <c r="AI252" s="272"/>
      <c r="AJ252" s="235"/>
    </row>
    <row r="253" spans="1:36" hidden="1" outlineLevel="1">
      <c r="A253" s="317"/>
      <c r="B253" s="290"/>
      <c r="C253" s="12" t="str">
        <f t="shared" si="17"/>
        <v>010041C8</v>
      </c>
      <c r="D253" s="20" t="s">
        <v>15</v>
      </c>
      <c r="E253" s="234" t="s">
        <v>15</v>
      </c>
      <c r="F253" s="272"/>
      <c r="G253" s="272"/>
      <c r="H253" s="272"/>
      <c r="I253" s="272"/>
      <c r="J253" s="272"/>
      <c r="K253" s="272"/>
      <c r="L253" s="272"/>
      <c r="M253" s="272"/>
      <c r="N253" s="272"/>
      <c r="O253" s="272"/>
      <c r="P253" s="272"/>
      <c r="Q253" s="272"/>
      <c r="R253" s="272"/>
      <c r="S253" s="272"/>
      <c r="T253" s="272"/>
      <c r="U253" s="272"/>
      <c r="V253" s="272"/>
      <c r="W253" s="272"/>
      <c r="X253" s="272"/>
      <c r="Y253" s="272"/>
      <c r="Z253" s="272"/>
      <c r="AA253" s="272"/>
      <c r="AB253" s="272"/>
      <c r="AC253" s="272"/>
      <c r="AD253" s="272"/>
      <c r="AE253" s="272"/>
      <c r="AF253" s="272"/>
      <c r="AG253" s="272"/>
      <c r="AH253" s="272"/>
      <c r="AI253" s="272"/>
      <c r="AJ253" s="235"/>
    </row>
    <row r="254" spans="1:36" hidden="1" outlineLevel="1">
      <c r="A254" s="317"/>
      <c r="B254" s="291"/>
      <c r="C254" s="12" t="str">
        <f t="shared" si="17"/>
        <v>010041CC</v>
      </c>
      <c r="D254" s="20" t="s">
        <v>15</v>
      </c>
      <c r="E254" s="234" t="s">
        <v>15</v>
      </c>
      <c r="F254" s="272"/>
      <c r="G254" s="272"/>
      <c r="H254" s="272"/>
      <c r="I254" s="272"/>
      <c r="J254" s="272"/>
      <c r="K254" s="272"/>
      <c r="L254" s="272"/>
      <c r="M254" s="272"/>
      <c r="N254" s="272"/>
      <c r="O254" s="272"/>
      <c r="P254" s="272"/>
      <c r="Q254" s="272"/>
      <c r="R254" s="272"/>
      <c r="S254" s="272"/>
      <c r="T254" s="272"/>
      <c r="U254" s="272"/>
      <c r="V254" s="272"/>
      <c r="W254" s="272"/>
      <c r="X254" s="272"/>
      <c r="Y254" s="272"/>
      <c r="Z254" s="272"/>
      <c r="AA254" s="272"/>
      <c r="AB254" s="272"/>
      <c r="AC254" s="272"/>
      <c r="AD254" s="272"/>
      <c r="AE254" s="272"/>
      <c r="AF254" s="272"/>
      <c r="AG254" s="272"/>
      <c r="AH254" s="272"/>
      <c r="AI254" s="272"/>
      <c r="AJ254" s="235"/>
    </row>
    <row r="255" spans="1:36" hidden="1" outlineLevel="1">
      <c r="A255" s="317"/>
      <c r="B255" s="289" t="str">
        <f>DEC2HEX(HEX2DEC(B251) + 1)</f>
        <v>10041D</v>
      </c>
      <c r="C255" s="12" t="str">
        <f t="shared" si="17"/>
        <v>010041D0</v>
      </c>
      <c r="D255" s="20" t="s">
        <v>15</v>
      </c>
      <c r="E255" s="234" t="s">
        <v>15</v>
      </c>
      <c r="F255" s="272"/>
      <c r="G255" s="272"/>
      <c r="H255" s="272"/>
      <c r="I255" s="272"/>
      <c r="J255" s="272"/>
      <c r="K255" s="272"/>
      <c r="L255" s="272"/>
      <c r="M255" s="272"/>
      <c r="N255" s="272"/>
      <c r="O255" s="272"/>
      <c r="P255" s="272"/>
      <c r="Q255" s="272"/>
      <c r="R255" s="272"/>
      <c r="S255" s="272"/>
      <c r="T255" s="272"/>
      <c r="U255" s="272"/>
      <c r="V255" s="272"/>
      <c r="W255" s="272"/>
      <c r="X255" s="272"/>
      <c r="Y255" s="272"/>
      <c r="Z255" s="272"/>
      <c r="AA255" s="272"/>
      <c r="AB255" s="272"/>
      <c r="AC255" s="272"/>
      <c r="AD255" s="272"/>
      <c r="AE255" s="272"/>
      <c r="AF255" s="272"/>
      <c r="AG255" s="272"/>
      <c r="AH255" s="272"/>
      <c r="AI255" s="272"/>
      <c r="AJ255" s="235"/>
    </row>
    <row r="256" spans="1:36" hidden="1" outlineLevel="1">
      <c r="A256" s="317"/>
      <c r="B256" s="290"/>
      <c r="C256" s="12" t="str">
        <f t="shared" si="17"/>
        <v>010041D4</v>
      </c>
      <c r="D256" s="20" t="s">
        <v>15</v>
      </c>
      <c r="E256" s="234" t="s">
        <v>15</v>
      </c>
      <c r="F256" s="272"/>
      <c r="G256" s="272"/>
      <c r="H256" s="272"/>
      <c r="I256" s="272"/>
      <c r="J256" s="272"/>
      <c r="K256" s="272"/>
      <c r="L256" s="272"/>
      <c r="M256" s="272"/>
      <c r="N256" s="272"/>
      <c r="O256" s="272"/>
      <c r="P256" s="272"/>
      <c r="Q256" s="272"/>
      <c r="R256" s="272"/>
      <c r="S256" s="272"/>
      <c r="T256" s="272"/>
      <c r="U256" s="272"/>
      <c r="V256" s="272"/>
      <c r="W256" s="272"/>
      <c r="X256" s="272"/>
      <c r="Y256" s="272"/>
      <c r="Z256" s="272"/>
      <c r="AA256" s="272"/>
      <c r="AB256" s="272"/>
      <c r="AC256" s="272"/>
      <c r="AD256" s="272"/>
      <c r="AE256" s="272"/>
      <c r="AF256" s="272"/>
      <c r="AG256" s="272"/>
      <c r="AH256" s="272"/>
      <c r="AI256" s="272"/>
      <c r="AJ256" s="235"/>
    </row>
    <row r="257" spans="1:36" hidden="1" outlineLevel="1">
      <c r="A257" s="317"/>
      <c r="B257" s="290"/>
      <c r="C257" s="12" t="str">
        <f t="shared" si="17"/>
        <v>010041D8</v>
      </c>
      <c r="D257" s="20" t="s">
        <v>15</v>
      </c>
      <c r="E257" s="234" t="s">
        <v>15</v>
      </c>
      <c r="F257" s="272"/>
      <c r="G257" s="272"/>
      <c r="H257" s="272"/>
      <c r="I257" s="272"/>
      <c r="J257" s="272"/>
      <c r="K257" s="272"/>
      <c r="L257" s="272"/>
      <c r="M257" s="272"/>
      <c r="N257" s="272"/>
      <c r="O257" s="272"/>
      <c r="P257" s="272"/>
      <c r="Q257" s="272"/>
      <c r="R257" s="272"/>
      <c r="S257" s="272"/>
      <c r="T257" s="272"/>
      <c r="U257" s="272"/>
      <c r="V257" s="272"/>
      <c r="W257" s="272"/>
      <c r="X257" s="272"/>
      <c r="Y257" s="272"/>
      <c r="Z257" s="272"/>
      <c r="AA257" s="272"/>
      <c r="AB257" s="272"/>
      <c r="AC257" s="272"/>
      <c r="AD257" s="272"/>
      <c r="AE257" s="272"/>
      <c r="AF257" s="272"/>
      <c r="AG257" s="272"/>
      <c r="AH257" s="272"/>
      <c r="AI257" s="272"/>
      <c r="AJ257" s="235"/>
    </row>
    <row r="258" spans="1:36" hidden="1" outlineLevel="1">
      <c r="A258" s="317"/>
      <c r="B258" s="291"/>
      <c r="C258" s="12" t="str">
        <f t="shared" si="17"/>
        <v>010041DC</v>
      </c>
      <c r="D258" s="20" t="s">
        <v>15</v>
      </c>
      <c r="E258" s="234" t="s">
        <v>15</v>
      </c>
      <c r="F258" s="272"/>
      <c r="G258" s="272"/>
      <c r="H258" s="272"/>
      <c r="I258" s="272"/>
      <c r="J258" s="272"/>
      <c r="K258" s="272"/>
      <c r="L258" s="272"/>
      <c r="M258" s="272"/>
      <c r="N258" s="272"/>
      <c r="O258" s="272"/>
      <c r="P258" s="272"/>
      <c r="Q258" s="272"/>
      <c r="R258" s="272"/>
      <c r="S258" s="272"/>
      <c r="T258" s="272"/>
      <c r="U258" s="272"/>
      <c r="V258" s="272"/>
      <c r="W258" s="272"/>
      <c r="X258" s="272"/>
      <c r="Y258" s="272"/>
      <c r="Z258" s="272"/>
      <c r="AA258" s="272"/>
      <c r="AB258" s="272"/>
      <c r="AC258" s="272"/>
      <c r="AD258" s="272"/>
      <c r="AE258" s="272"/>
      <c r="AF258" s="272"/>
      <c r="AG258" s="272"/>
      <c r="AH258" s="272"/>
      <c r="AI258" s="272"/>
      <c r="AJ258" s="235"/>
    </row>
    <row r="259" spans="1:36" hidden="1" outlineLevel="1">
      <c r="A259" s="317"/>
      <c r="B259" s="289" t="str">
        <f>DEC2HEX(HEX2DEC(B255) + 1)</f>
        <v>10041E</v>
      </c>
      <c r="C259" s="12" t="str">
        <f t="shared" si="17"/>
        <v>010041E0</v>
      </c>
      <c r="D259" s="20" t="s">
        <v>15</v>
      </c>
      <c r="E259" s="234" t="s">
        <v>15</v>
      </c>
      <c r="F259" s="272"/>
      <c r="G259" s="272"/>
      <c r="H259" s="272"/>
      <c r="I259" s="272"/>
      <c r="J259" s="272"/>
      <c r="K259" s="272"/>
      <c r="L259" s="272"/>
      <c r="M259" s="272"/>
      <c r="N259" s="272"/>
      <c r="O259" s="272"/>
      <c r="P259" s="272"/>
      <c r="Q259" s="272"/>
      <c r="R259" s="272"/>
      <c r="S259" s="272"/>
      <c r="T259" s="272"/>
      <c r="U259" s="272"/>
      <c r="V259" s="272"/>
      <c r="W259" s="272"/>
      <c r="X259" s="272"/>
      <c r="Y259" s="272"/>
      <c r="Z259" s="272"/>
      <c r="AA259" s="272"/>
      <c r="AB259" s="272"/>
      <c r="AC259" s="272"/>
      <c r="AD259" s="272"/>
      <c r="AE259" s="272"/>
      <c r="AF259" s="272"/>
      <c r="AG259" s="272"/>
      <c r="AH259" s="272"/>
      <c r="AI259" s="272"/>
      <c r="AJ259" s="235"/>
    </row>
    <row r="260" spans="1:36" hidden="1" outlineLevel="1">
      <c r="A260" s="317"/>
      <c r="B260" s="290"/>
      <c r="C260" s="12" t="str">
        <f t="shared" si="17"/>
        <v>010041E4</v>
      </c>
      <c r="D260" s="20" t="s">
        <v>15</v>
      </c>
      <c r="E260" s="234" t="s">
        <v>15</v>
      </c>
      <c r="F260" s="272"/>
      <c r="G260" s="272"/>
      <c r="H260" s="272"/>
      <c r="I260" s="272"/>
      <c r="J260" s="272"/>
      <c r="K260" s="272"/>
      <c r="L260" s="272"/>
      <c r="M260" s="272"/>
      <c r="N260" s="272"/>
      <c r="O260" s="272"/>
      <c r="P260" s="272"/>
      <c r="Q260" s="272"/>
      <c r="R260" s="272"/>
      <c r="S260" s="272"/>
      <c r="T260" s="272"/>
      <c r="U260" s="272"/>
      <c r="V260" s="272"/>
      <c r="W260" s="272"/>
      <c r="X260" s="272"/>
      <c r="Y260" s="272"/>
      <c r="Z260" s="272"/>
      <c r="AA260" s="272"/>
      <c r="AB260" s="272"/>
      <c r="AC260" s="272"/>
      <c r="AD260" s="272"/>
      <c r="AE260" s="272"/>
      <c r="AF260" s="272"/>
      <c r="AG260" s="272"/>
      <c r="AH260" s="272"/>
      <c r="AI260" s="272"/>
      <c r="AJ260" s="235"/>
    </row>
    <row r="261" spans="1:36" hidden="1" outlineLevel="1">
      <c r="A261" s="317"/>
      <c r="B261" s="290"/>
      <c r="C261" s="12" t="str">
        <f t="shared" si="17"/>
        <v>010041E8</v>
      </c>
      <c r="D261" s="20" t="s">
        <v>15</v>
      </c>
      <c r="E261" s="234" t="s">
        <v>15</v>
      </c>
      <c r="F261" s="272"/>
      <c r="G261" s="272"/>
      <c r="H261" s="272"/>
      <c r="I261" s="272"/>
      <c r="J261" s="272"/>
      <c r="K261" s="272"/>
      <c r="L261" s="272"/>
      <c r="M261" s="272"/>
      <c r="N261" s="272"/>
      <c r="O261" s="272"/>
      <c r="P261" s="272"/>
      <c r="Q261" s="272"/>
      <c r="R261" s="272"/>
      <c r="S261" s="272"/>
      <c r="T261" s="272"/>
      <c r="U261" s="272"/>
      <c r="V261" s="272"/>
      <c r="W261" s="272"/>
      <c r="X261" s="272"/>
      <c r="Y261" s="272"/>
      <c r="Z261" s="272"/>
      <c r="AA261" s="272"/>
      <c r="AB261" s="272"/>
      <c r="AC261" s="272"/>
      <c r="AD261" s="272"/>
      <c r="AE261" s="272"/>
      <c r="AF261" s="272"/>
      <c r="AG261" s="272"/>
      <c r="AH261" s="272"/>
      <c r="AI261" s="272"/>
      <c r="AJ261" s="235"/>
    </row>
    <row r="262" spans="1:36" hidden="1" outlineLevel="1">
      <c r="A262" s="317"/>
      <c r="B262" s="291"/>
      <c r="C262" s="12" t="str">
        <f t="shared" si="17"/>
        <v>010041EC</v>
      </c>
      <c r="D262" s="55" t="s">
        <v>587</v>
      </c>
      <c r="E262" s="310" t="s">
        <v>588</v>
      </c>
      <c r="F262" s="311"/>
      <c r="G262" s="311"/>
      <c r="H262" s="311"/>
      <c r="I262" s="311"/>
      <c r="J262" s="311"/>
      <c r="K262" s="311"/>
      <c r="L262" s="311"/>
      <c r="M262" s="311"/>
      <c r="N262" s="311"/>
      <c r="O262" s="311"/>
      <c r="P262" s="311"/>
      <c r="Q262" s="311"/>
      <c r="R262" s="311"/>
      <c r="S262" s="311"/>
      <c r="T262" s="311"/>
      <c r="U262" s="311"/>
      <c r="V262" s="311"/>
      <c r="W262" s="311"/>
      <c r="X262" s="311"/>
      <c r="Y262" s="311"/>
      <c r="Z262" s="311"/>
      <c r="AA262" s="311"/>
      <c r="AB262" s="311"/>
      <c r="AC262" s="311"/>
      <c r="AD262" s="311"/>
      <c r="AE262" s="311"/>
      <c r="AF262" s="311"/>
      <c r="AG262" s="311"/>
      <c r="AH262" s="311"/>
      <c r="AI262" s="311"/>
      <c r="AJ262" s="312"/>
    </row>
    <row r="263" spans="1:36" ht="15.75" hidden="1" customHeight="1" outlineLevel="1">
      <c r="A263" s="317"/>
      <c r="B263" s="289" t="str">
        <f>DEC2HEX(HEX2DEC(B259) + 1)</f>
        <v>10041F</v>
      </c>
      <c r="C263" s="12" t="str">
        <f t="shared" si="17"/>
        <v>010041F0</v>
      </c>
      <c r="D263" s="318" t="s">
        <v>589</v>
      </c>
      <c r="E263" s="152" t="s">
        <v>590</v>
      </c>
      <c r="F263" s="153"/>
      <c r="G263" s="153"/>
      <c r="H263" s="153"/>
      <c r="I263" s="153"/>
      <c r="J263" s="153"/>
      <c r="K263" s="153"/>
      <c r="L263" s="153"/>
      <c r="M263" s="153"/>
      <c r="N263" s="153"/>
      <c r="O263" s="153"/>
      <c r="P263" s="153"/>
      <c r="Q263" s="153"/>
      <c r="R263" s="153"/>
      <c r="S263" s="153"/>
      <c r="T263" s="153"/>
      <c r="U263" s="153"/>
      <c r="V263" s="153"/>
      <c r="W263" s="153"/>
      <c r="X263" s="153"/>
      <c r="Y263" s="153"/>
      <c r="Z263" s="153"/>
      <c r="AA263" s="153"/>
      <c r="AB263" s="153"/>
      <c r="AC263" s="153"/>
      <c r="AD263" s="153"/>
      <c r="AE263" s="153"/>
      <c r="AF263" s="153"/>
      <c r="AG263" s="153"/>
      <c r="AH263" s="153"/>
      <c r="AI263" s="153"/>
      <c r="AJ263" s="154"/>
    </row>
    <row r="264" spans="1:36" hidden="1" outlineLevel="1">
      <c r="A264" s="317"/>
      <c r="B264" s="290"/>
      <c r="C264" s="12" t="str">
        <f t="shared" si="17"/>
        <v>010041F4</v>
      </c>
      <c r="D264" s="183"/>
      <c r="E264" s="155" t="s">
        <v>591</v>
      </c>
      <c r="F264" s="156"/>
      <c r="G264" s="156"/>
      <c r="H264" s="156"/>
      <c r="I264" s="156"/>
      <c r="J264" s="156"/>
      <c r="K264" s="156"/>
      <c r="L264" s="156"/>
      <c r="M264" s="156"/>
      <c r="N264" s="156"/>
      <c r="O264" s="156"/>
      <c r="P264" s="156"/>
      <c r="Q264" s="156"/>
      <c r="R264" s="156"/>
      <c r="S264" s="156"/>
      <c r="T264" s="156"/>
      <c r="U264" s="156"/>
      <c r="V264" s="156"/>
      <c r="W264" s="156"/>
      <c r="X264" s="156"/>
      <c r="Y264" s="156"/>
      <c r="Z264" s="156"/>
      <c r="AA264" s="156"/>
      <c r="AB264" s="156"/>
      <c r="AC264" s="156"/>
      <c r="AD264" s="156"/>
      <c r="AE264" s="156"/>
      <c r="AF264" s="156"/>
      <c r="AG264" s="156"/>
      <c r="AH264" s="156"/>
      <c r="AI264" s="156"/>
      <c r="AJ264" s="157"/>
    </row>
    <row r="265" spans="1:36" hidden="1" outlineLevel="1">
      <c r="A265" s="317"/>
      <c r="B265" s="290"/>
      <c r="C265" s="12" t="str">
        <f t="shared" si="17"/>
        <v>010041F8</v>
      </c>
      <c r="D265" s="183"/>
      <c r="E265" s="155" t="s">
        <v>592</v>
      </c>
      <c r="F265" s="156"/>
      <c r="G265" s="156"/>
      <c r="H265" s="156"/>
      <c r="I265" s="156"/>
      <c r="J265" s="156"/>
      <c r="K265" s="156"/>
      <c r="L265" s="156"/>
      <c r="M265" s="156"/>
      <c r="N265" s="156"/>
      <c r="O265" s="156"/>
      <c r="P265" s="156"/>
      <c r="Q265" s="156"/>
      <c r="R265" s="156"/>
      <c r="S265" s="156"/>
      <c r="T265" s="156"/>
      <c r="U265" s="156"/>
      <c r="V265" s="156"/>
      <c r="W265" s="156"/>
      <c r="X265" s="156"/>
      <c r="Y265" s="156"/>
      <c r="Z265" s="156"/>
      <c r="AA265" s="156"/>
      <c r="AB265" s="156"/>
      <c r="AC265" s="156"/>
      <c r="AD265" s="156"/>
      <c r="AE265" s="156"/>
      <c r="AF265" s="156"/>
      <c r="AG265" s="156"/>
      <c r="AH265" s="156"/>
      <c r="AI265" s="156"/>
      <c r="AJ265" s="157"/>
    </row>
    <row r="266" spans="1:36" hidden="1" outlineLevel="1">
      <c r="A266" s="317"/>
      <c r="B266" s="291"/>
      <c r="C266" s="12" t="str">
        <f t="shared" si="17"/>
        <v>010041FC</v>
      </c>
      <c r="D266" s="183"/>
      <c r="E266" s="158" t="s">
        <v>593</v>
      </c>
      <c r="F266" s="159"/>
      <c r="G266" s="159"/>
      <c r="H266" s="159"/>
      <c r="I266" s="159"/>
      <c r="J266" s="159"/>
      <c r="K266" s="159"/>
      <c r="L266" s="159"/>
      <c r="M266" s="159"/>
      <c r="N266" s="159"/>
      <c r="O266" s="159"/>
      <c r="P266" s="159"/>
      <c r="Q266" s="159"/>
      <c r="R266" s="159"/>
      <c r="S266" s="159"/>
      <c r="T266" s="159"/>
      <c r="U266" s="159"/>
      <c r="V266" s="159"/>
      <c r="W266" s="159"/>
      <c r="X266" s="159"/>
      <c r="Y266" s="159"/>
      <c r="Z266" s="159"/>
      <c r="AA266" s="159"/>
      <c r="AB266" s="159"/>
      <c r="AC266" s="159"/>
      <c r="AD266" s="159"/>
      <c r="AE266" s="159"/>
      <c r="AF266" s="159"/>
      <c r="AG266" s="159"/>
      <c r="AH266" s="159"/>
      <c r="AI266" s="159"/>
      <c r="AJ266" s="160"/>
    </row>
    <row r="267" spans="1:36" ht="15.75" hidden="1" customHeight="1" outlineLevel="1">
      <c r="A267" s="317"/>
      <c r="B267" s="166" t="s">
        <v>594</v>
      </c>
      <c r="C267" s="166" t="s">
        <v>594</v>
      </c>
      <c r="D267" s="167" t="s">
        <v>351</v>
      </c>
      <c r="E267" s="158"/>
      <c r="F267" s="159"/>
      <c r="G267" s="159"/>
      <c r="H267" s="159"/>
      <c r="I267" s="159"/>
      <c r="J267" s="159"/>
      <c r="K267" s="159"/>
      <c r="L267" s="159"/>
      <c r="M267" s="159"/>
      <c r="N267" s="159"/>
      <c r="O267" s="159"/>
      <c r="P267" s="159"/>
      <c r="Q267" s="159"/>
      <c r="R267" s="159"/>
      <c r="S267" s="159"/>
      <c r="T267" s="159"/>
      <c r="U267" s="159"/>
      <c r="V267" s="159"/>
      <c r="W267" s="159"/>
      <c r="X267" s="159"/>
      <c r="Y267" s="159"/>
      <c r="Z267" s="159"/>
      <c r="AA267" s="159"/>
      <c r="AB267" s="159"/>
      <c r="AC267" s="159"/>
      <c r="AD267" s="159"/>
      <c r="AE267" s="159"/>
      <c r="AF267" s="159"/>
      <c r="AG267" s="159"/>
      <c r="AH267" s="159"/>
      <c r="AI267" s="159"/>
      <c r="AJ267" s="160"/>
    </row>
    <row r="268" spans="1:36" hidden="1" outlineLevel="1">
      <c r="A268" s="317"/>
      <c r="B268" s="79"/>
      <c r="C268" s="79"/>
      <c r="D268" s="168"/>
      <c r="E268" s="173"/>
      <c r="F268" s="174"/>
      <c r="G268" s="174"/>
      <c r="H268" s="174"/>
      <c r="I268" s="174"/>
      <c r="J268" s="174"/>
      <c r="K268" s="174"/>
      <c r="L268" s="174"/>
      <c r="M268" s="174"/>
      <c r="N268" s="174"/>
      <c r="O268" s="174"/>
      <c r="P268" s="174"/>
      <c r="Q268" s="174"/>
      <c r="R268" s="174"/>
      <c r="S268" s="174"/>
      <c r="T268" s="174"/>
      <c r="U268" s="174"/>
      <c r="V268" s="174"/>
      <c r="W268" s="174"/>
      <c r="X268" s="174"/>
      <c r="Y268" s="174"/>
      <c r="Z268" s="174"/>
      <c r="AA268" s="174"/>
      <c r="AB268" s="174"/>
      <c r="AC268" s="174"/>
      <c r="AD268" s="174"/>
      <c r="AE268" s="174"/>
      <c r="AF268" s="174"/>
      <c r="AG268" s="174"/>
      <c r="AH268" s="174"/>
      <c r="AI268" s="174"/>
      <c r="AJ268" s="175"/>
    </row>
    <row r="269" spans="1:36" hidden="1" outlineLevel="1">
      <c r="A269" s="317"/>
      <c r="B269" s="79"/>
      <c r="C269" s="79"/>
      <c r="D269" s="168"/>
      <c r="E269" s="173"/>
      <c r="F269" s="174"/>
      <c r="G269" s="174"/>
      <c r="H269" s="174"/>
      <c r="I269" s="174"/>
      <c r="J269" s="174"/>
      <c r="K269" s="174"/>
      <c r="L269" s="174"/>
      <c r="M269" s="174"/>
      <c r="N269" s="174"/>
      <c r="O269" s="174"/>
      <c r="P269" s="174"/>
      <c r="Q269" s="174"/>
      <c r="R269" s="174"/>
      <c r="S269" s="174"/>
      <c r="T269" s="174"/>
      <c r="U269" s="174"/>
      <c r="V269" s="174"/>
      <c r="W269" s="174"/>
      <c r="X269" s="174"/>
      <c r="Y269" s="174"/>
      <c r="Z269" s="174"/>
      <c r="AA269" s="174"/>
      <c r="AB269" s="174"/>
      <c r="AC269" s="174"/>
      <c r="AD269" s="174"/>
      <c r="AE269" s="174"/>
      <c r="AF269" s="174"/>
      <c r="AG269" s="174"/>
      <c r="AH269" s="174"/>
      <c r="AI269" s="174"/>
      <c r="AJ269" s="175"/>
    </row>
    <row r="270" spans="1:36" hidden="1" outlineLevel="1">
      <c r="A270" s="317"/>
      <c r="B270" s="79"/>
      <c r="C270" s="79"/>
      <c r="D270" s="169"/>
      <c r="E270" s="176"/>
      <c r="F270" s="177"/>
      <c r="G270" s="177"/>
      <c r="H270" s="177"/>
      <c r="I270" s="177"/>
      <c r="J270" s="177"/>
      <c r="K270" s="177"/>
      <c r="L270" s="177"/>
      <c r="M270" s="177"/>
      <c r="N270" s="177"/>
      <c r="O270" s="177"/>
      <c r="P270" s="177"/>
      <c r="Q270" s="177"/>
      <c r="R270" s="177"/>
      <c r="S270" s="177"/>
      <c r="T270" s="177"/>
      <c r="U270" s="177"/>
      <c r="V270" s="177"/>
      <c r="W270" s="177"/>
      <c r="X270" s="177"/>
      <c r="Y270" s="177"/>
      <c r="Z270" s="177"/>
      <c r="AA270" s="177"/>
      <c r="AB270" s="177"/>
      <c r="AC270" s="177"/>
      <c r="AD270" s="177"/>
      <c r="AE270" s="177"/>
      <c r="AF270" s="177"/>
      <c r="AG270" s="177"/>
      <c r="AH270" s="177"/>
      <c r="AI270" s="177"/>
      <c r="AJ270" s="178"/>
    </row>
    <row r="271" spans="1:36" ht="26" collapsed="1">
      <c r="A271" s="29" t="s">
        <v>352</v>
      </c>
      <c r="B271" s="30"/>
      <c r="C271" s="30"/>
      <c r="D271" s="31"/>
      <c r="E271" s="31"/>
      <c r="F271" s="31"/>
      <c r="G271" s="31"/>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24"/>
      <c r="AJ271" s="6"/>
    </row>
    <row r="272" spans="1:36" hidden="1" outlineLevel="1">
      <c r="A272" s="313"/>
      <c r="B272" s="166" t="s">
        <v>595</v>
      </c>
      <c r="C272" s="166" t="s">
        <v>595</v>
      </c>
      <c r="D272" s="314" t="s">
        <v>596</v>
      </c>
      <c r="E272" s="170"/>
      <c r="F272" s="171"/>
      <c r="G272" s="171"/>
      <c r="H272" s="171"/>
      <c r="I272" s="171"/>
      <c r="J272" s="171"/>
      <c r="K272" s="171"/>
      <c r="L272" s="171"/>
      <c r="M272" s="171"/>
      <c r="N272" s="171"/>
      <c r="O272" s="171"/>
      <c r="P272" s="171"/>
      <c r="Q272" s="171"/>
      <c r="R272" s="171"/>
      <c r="S272" s="171"/>
      <c r="T272" s="171"/>
      <c r="U272" s="171"/>
      <c r="V272" s="171"/>
      <c r="W272" s="171"/>
      <c r="X272" s="171"/>
      <c r="Y272" s="171"/>
      <c r="Z272" s="171"/>
      <c r="AA272" s="171"/>
      <c r="AB272" s="171"/>
      <c r="AC272" s="171"/>
      <c r="AD272" s="171"/>
      <c r="AE272" s="171"/>
      <c r="AF272" s="171"/>
      <c r="AG272" s="171"/>
      <c r="AH272" s="171"/>
      <c r="AI272" s="171"/>
      <c r="AJ272" s="172"/>
    </row>
    <row r="273" spans="1:36" hidden="1" outlineLevel="1">
      <c r="A273" s="313"/>
      <c r="B273" s="79"/>
      <c r="C273" s="79"/>
      <c r="D273" s="315"/>
      <c r="E273" s="173"/>
      <c r="F273" s="174"/>
      <c r="G273" s="174"/>
      <c r="H273" s="174"/>
      <c r="I273" s="174"/>
      <c r="J273" s="174"/>
      <c r="K273" s="174"/>
      <c r="L273" s="174"/>
      <c r="M273" s="174"/>
      <c r="N273" s="174"/>
      <c r="O273" s="174"/>
      <c r="P273" s="174"/>
      <c r="Q273" s="174"/>
      <c r="R273" s="174"/>
      <c r="S273" s="174"/>
      <c r="T273" s="174"/>
      <c r="U273" s="174"/>
      <c r="V273" s="174"/>
      <c r="W273" s="174"/>
      <c r="X273" s="174"/>
      <c r="Y273" s="174"/>
      <c r="Z273" s="174"/>
      <c r="AA273" s="174"/>
      <c r="AB273" s="174"/>
      <c r="AC273" s="174"/>
      <c r="AD273" s="174"/>
      <c r="AE273" s="174"/>
      <c r="AF273" s="174"/>
      <c r="AG273" s="174"/>
      <c r="AH273" s="174"/>
      <c r="AI273" s="174"/>
      <c r="AJ273" s="175"/>
    </row>
    <row r="274" spans="1:36" hidden="1" outlineLevel="1">
      <c r="A274" s="313"/>
      <c r="B274" s="79"/>
      <c r="C274" s="79"/>
      <c r="D274" s="315"/>
      <c r="E274" s="173"/>
      <c r="F274" s="174"/>
      <c r="G274" s="174"/>
      <c r="H274" s="174"/>
      <c r="I274" s="174"/>
      <c r="J274" s="174"/>
      <c r="K274" s="174"/>
      <c r="L274" s="174"/>
      <c r="M274" s="174"/>
      <c r="N274" s="174"/>
      <c r="O274" s="174"/>
      <c r="P274" s="174"/>
      <c r="Q274" s="174"/>
      <c r="R274" s="174"/>
      <c r="S274" s="174"/>
      <c r="T274" s="174"/>
      <c r="U274" s="174"/>
      <c r="V274" s="174"/>
      <c r="W274" s="174"/>
      <c r="X274" s="174"/>
      <c r="Y274" s="174"/>
      <c r="Z274" s="174"/>
      <c r="AA274" s="174"/>
      <c r="AB274" s="174"/>
      <c r="AC274" s="174"/>
      <c r="AD274" s="174"/>
      <c r="AE274" s="174"/>
      <c r="AF274" s="174"/>
      <c r="AG274" s="174"/>
      <c r="AH274" s="174"/>
      <c r="AI274" s="174"/>
      <c r="AJ274" s="175"/>
    </row>
    <row r="275" spans="1:36" hidden="1" outlineLevel="1">
      <c r="A275" s="313"/>
      <c r="B275" s="79"/>
      <c r="C275" s="79"/>
      <c r="D275" s="316"/>
      <c r="E275" s="176"/>
      <c r="F275" s="177"/>
      <c r="G275" s="177"/>
      <c r="H275" s="177"/>
      <c r="I275" s="177"/>
      <c r="J275" s="177"/>
      <c r="K275" s="177"/>
      <c r="L275" s="177"/>
      <c r="M275" s="177"/>
      <c r="N275" s="177"/>
      <c r="O275" s="177"/>
      <c r="P275" s="177"/>
      <c r="Q275" s="177"/>
      <c r="R275" s="177"/>
      <c r="S275" s="177"/>
      <c r="T275" s="177"/>
      <c r="U275" s="177"/>
      <c r="V275" s="177"/>
      <c r="W275" s="177"/>
      <c r="X275" s="177"/>
      <c r="Y275" s="177"/>
      <c r="Z275" s="177"/>
      <c r="AA275" s="177"/>
      <c r="AB275" s="177"/>
      <c r="AC275" s="177"/>
      <c r="AD275" s="177"/>
      <c r="AE275" s="177"/>
      <c r="AF275" s="177"/>
      <c r="AG275" s="177"/>
      <c r="AH275" s="177"/>
      <c r="AI275" s="177"/>
      <c r="AJ275" s="178"/>
    </row>
    <row r="276" spans="1:36" ht="16" hidden="1" outlineLevel="1" thickBot="1">
      <c r="A276" s="7"/>
      <c r="B276" s="32"/>
      <c r="C276" s="33"/>
      <c r="D276" s="34" t="s">
        <v>33</v>
      </c>
      <c r="E276" s="34" t="s">
        <v>33</v>
      </c>
      <c r="F276" s="34" t="s">
        <v>33</v>
      </c>
      <c r="G276" s="34" t="s">
        <v>33</v>
      </c>
      <c r="H276" s="34" t="s">
        <v>33</v>
      </c>
      <c r="I276" s="34" t="s">
        <v>33</v>
      </c>
      <c r="J276" s="34" t="s">
        <v>33</v>
      </c>
      <c r="K276" s="34" t="s">
        <v>33</v>
      </c>
      <c r="L276" s="34" t="s">
        <v>33</v>
      </c>
      <c r="M276" s="34" t="s">
        <v>33</v>
      </c>
      <c r="N276" s="34" t="s">
        <v>33</v>
      </c>
      <c r="O276" s="34" t="s">
        <v>33</v>
      </c>
      <c r="P276" s="34" t="s">
        <v>33</v>
      </c>
      <c r="Q276" s="34" t="s">
        <v>33</v>
      </c>
      <c r="R276" s="34" t="s">
        <v>33</v>
      </c>
      <c r="S276" s="34" t="s">
        <v>33</v>
      </c>
      <c r="T276" s="34" t="s">
        <v>33</v>
      </c>
      <c r="U276" s="34" t="s">
        <v>33</v>
      </c>
      <c r="V276" s="34" t="s">
        <v>33</v>
      </c>
      <c r="W276" s="34" t="s">
        <v>33</v>
      </c>
      <c r="X276" s="34" t="s">
        <v>33</v>
      </c>
      <c r="Y276" s="34" t="s">
        <v>33</v>
      </c>
      <c r="Z276" s="34" t="s">
        <v>33</v>
      </c>
      <c r="AA276" s="34" t="s">
        <v>33</v>
      </c>
      <c r="AB276" s="34" t="s">
        <v>33</v>
      </c>
      <c r="AC276" s="34" t="s">
        <v>33</v>
      </c>
      <c r="AD276" s="34" t="s">
        <v>33</v>
      </c>
      <c r="AE276" s="34" t="s">
        <v>33</v>
      </c>
      <c r="AF276" s="34" t="s">
        <v>33</v>
      </c>
      <c r="AG276" s="34" t="s">
        <v>33</v>
      </c>
      <c r="AH276" s="34" t="s">
        <v>33</v>
      </c>
      <c r="AI276" s="35" t="s">
        <v>33</v>
      </c>
      <c r="AJ276" s="7"/>
    </row>
    <row r="277" spans="1:36" ht="26" collapsed="1">
      <c r="A277" s="321" t="s">
        <v>597</v>
      </c>
      <c r="B277" s="321"/>
      <c r="C277" s="321"/>
      <c r="D277" s="321"/>
      <c r="E277" s="321"/>
      <c r="F277" s="321"/>
      <c r="G277" s="322"/>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24"/>
      <c r="AJ277" s="6"/>
    </row>
    <row r="278" spans="1:36" ht="15.75" hidden="1" customHeight="1" outlineLevel="1">
      <c r="A278" s="323"/>
      <c r="B278" s="166" t="s">
        <v>598</v>
      </c>
      <c r="C278" s="166" t="s">
        <v>598</v>
      </c>
      <c r="D278" s="314" t="s">
        <v>599</v>
      </c>
      <c r="E278" s="170"/>
      <c r="F278" s="171"/>
      <c r="G278" s="171"/>
      <c r="H278" s="171"/>
      <c r="I278" s="171"/>
      <c r="J278" s="171"/>
      <c r="K278" s="171"/>
      <c r="L278" s="171"/>
      <c r="M278" s="171"/>
      <c r="N278" s="171"/>
      <c r="O278" s="171"/>
      <c r="P278" s="171"/>
      <c r="Q278" s="171"/>
      <c r="R278" s="171"/>
      <c r="S278" s="171"/>
      <c r="T278" s="171"/>
      <c r="U278" s="171"/>
      <c r="V278" s="171"/>
      <c r="W278" s="171"/>
      <c r="X278" s="171"/>
      <c r="Y278" s="171"/>
      <c r="Z278" s="171"/>
      <c r="AA278" s="171"/>
      <c r="AB278" s="171"/>
      <c r="AC278" s="171"/>
      <c r="AD278" s="171"/>
      <c r="AE278" s="171"/>
      <c r="AF278" s="171"/>
      <c r="AG278" s="171"/>
      <c r="AH278" s="171"/>
      <c r="AI278" s="171"/>
      <c r="AJ278" s="172"/>
    </row>
    <row r="279" spans="1:36" hidden="1" outlineLevel="1">
      <c r="A279" s="323"/>
      <c r="B279" s="79"/>
      <c r="C279" s="79"/>
      <c r="D279" s="315"/>
      <c r="E279" s="173"/>
      <c r="F279" s="174"/>
      <c r="G279" s="174"/>
      <c r="H279" s="174"/>
      <c r="I279" s="174"/>
      <c r="J279" s="174"/>
      <c r="K279" s="174"/>
      <c r="L279" s="174"/>
      <c r="M279" s="174"/>
      <c r="N279" s="174"/>
      <c r="O279" s="174"/>
      <c r="P279" s="174"/>
      <c r="Q279" s="174"/>
      <c r="R279" s="174"/>
      <c r="S279" s="174"/>
      <c r="T279" s="174"/>
      <c r="U279" s="174"/>
      <c r="V279" s="174"/>
      <c r="W279" s="174"/>
      <c r="X279" s="174"/>
      <c r="Y279" s="174"/>
      <c r="Z279" s="174"/>
      <c r="AA279" s="174"/>
      <c r="AB279" s="174"/>
      <c r="AC279" s="174"/>
      <c r="AD279" s="174"/>
      <c r="AE279" s="174"/>
      <c r="AF279" s="174"/>
      <c r="AG279" s="174"/>
      <c r="AH279" s="174"/>
      <c r="AI279" s="174"/>
      <c r="AJ279" s="175"/>
    </row>
    <row r="280" spans="1:36" hidden="1" outlineLevel="1">
      <c r="A280" s="323"/>
      <c r="B280" s="79"/>
      <c r="C280" s="79"/>
      <c r="D280" s="315"/>
      <c r="E280" s="173"/>
      <c r="F280" s="174"/>
      <c r="G280" s="174"/>
      <c r="H280" s="174"/>
      <c r="I280" s="174"/>
      <c r="J280" s="174"/>
      <c r="K280" s="174"/>
      <c r="L280" s="174"/>
      <c r="M280" s="174"/>
      <c r="N280" s="174"/>
      <c r="O280" s="174"/>
      <c r="P280" s="174"/>
      <c r="Q280" s="174"/>
      <c r="R280" s="174"/>
      <c r="S280" s="174"/>
      <c r="T280" s="174"/>
      <c r="U280" s="174"/>
      <c r="V280" s="174"/>
      <c r="W280" s="174"/>
      <c r="X280" s="174"/>
      <c r="Y280" s="174"/>
      <c r="Z280" s="174"/>
      <c r="AA280" s="174"/>
      <c r="AB280" s="174"/>
      <c r="AC280" s="174"/>
      <c r="AD280" s="174"/>
      <c r="AE280" s="174"/>
      <c r="AF280" s="174"/>
      <c r="AG280" s="174"/>
      <c r="AH280" s="174"/>
      <c r="AI280" s="174"/>
      <c r="AJ280" s="175"/>
    </row>
    <row r="281" spans="1:36" hidden="1" outlineLevel="1">
      <c r="A281" s="323"/>
      <c r="B281" s="79"/>
      <c r="C281" s="79"/>
      <c r="D281" s="316"/>
      <c r="E281" s="176"/>
      <c r="F281" s="177"/>
      <c r="G281" s="177"/>
      <c r="H281" s="177"/>
      <c r="I281" s="177"/>
      <c r="J281" s="177"/>
      <c r="K281" s="177"/>
      <c r="L281" s="177"/>
      <c r="M281" s="177"/>
      <c r="N281" s="177"/>
      <c r="O281" s="177"/>
      <c r="P281" s="177"/>
      <c r="Q281" s="177"/>
      <c r="R281" s="177"/>
      <c r="S281" s="177"/>
      <c r="T281" s="177"/>
      <c r="U281" s="177"/>
      <c r="V281" s="177"/>
      <c r="W281" s="177"/>
      <c r="X281" s="177"/>
      <c r="Y281" s="177"/>
      <c r="Z281" s="177"/>
      <c r="AA281" s="177"/>
      <c r="AB281" s="177"/>
      <c r="AC281" s="177"/>
      <c r="AD281" s="177"/>
      <c r="AE281" s="177"/>
      <c r="AF281" s="177"/>
      <c r="AG281" s="177"/>
      <c r="AH281" s="177"/>
      <c r="AI281" s="177"/>
      <c r="AJ281" s="178"/>
    </row>
    <row r="282" spans="1:36" ht="26" collapsed="1">
      <c r="A282" s="319" t="s">
        <v>600</v>
      </c>
      <c r="B282" s="319"/>
      <c r="C282" s="319"/>
      <c r="D282" s="319"/>
      <c r="E282" s="319"/>
      <c r="F282" s="319"/>
      <c r="G282" s="32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24"/>
      <c r="AJ282" s="6"/>
    </row>
    <row r="520" ht="13" customHeight="1"/>
    <row r="653" spans="1:36" s="6" customFormat="1">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row>
    <row r="659" spans="1:36" s="6" customFormat="1">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row>
  </sheetData>
  <mergeCells count="638">
    <mergeCell ref="A282:G282"/>
    <mergeCell ref="A277:G277"/>
    <mergeCell ref="A278:A281"/>
    <mergeCell ref="B278:B281"/>
    <mergeCell ref="C278:C281"/>
    <mergeCell ref="D278:D281"/>
    <mergeCell ref="E278:AJ278"/>
    <mergeCell ref="E279:AJ279"/>
    <mergeCell ref="E280:AJ280"/>
    <mergeCell ref="E281:AJ281"/>
    <mergeCell ref="A272:A275"/>
    <mergeCell ref="B272:B275"/>
    <mergeCell ref="C272:C275"/>
    <mergeCell ref="D272:D275"/>
    <mergeCell ref="E272:AJ272"/>
    <mergeCell ref="E273:AJ273"/>
    <mergeCell ref="E274:AJ274"/>
    <mergeCell ref="E275:AJ275"/>
    <mergeCell ref="B267:B270"/>
    <mergeCell ref="C267:C270"/>
    <mergeCell ref="D267:D270"/>
    <mergeCell ref="E267:AJ267"/>
    <mergeCell ref="E268:AJ268"/>
    <mergeCell ref="E269:AJ269"/>
    <mergeCell ref="E270:AJ270"/>
    <mergeCell ref="A139:A270"/>
    <mergeCell ref="B263:B266"/>
    <mergeCell ref="D263:D266"/>
    <mergeCell ref="E263:AJ263"/>
    <mergeCell ref="E264:AJ264"/>
    <mergeCell ref="E265:AJ265"/>
    <mergeCell ref="E266:AJ266"/>
    <mergeCell ref="B255:B258"/>
    <mergeCell ref="E255:AJ255"/>
    <mergeCell ref="E256:AJ256"/>
    <mergeCell ref="E257:AJ257"/>
    <mergeCell ref="E258:AJ258"/>
    <mergeCell ref="B259:B262"/>
    <mergeCell ref="E259:AJ259"/>
    <mergeCell ref="E260:AJ260"/>
    <mergeCell ref="E261:AJ261"/>
    <mergeCell ref="E262:AJ262"/>
    <mergeCell ref="B247:B250"/>
    <mergeCell ref="E247:AJ247"/>
    <mergeCell ref="E248:AJ248"/>
    <mergeCell ref="E249:AJ249"/>
    <mergeCell ref="E250:AJ250"/>
    <mergeCell ref="B251:B254"/>
    <mergeCell ref="E251:AJ251"/>
    <mergeCell ref="E252:AJ252"/>
    <mergeCell ref="E253:AJ253"/>
    <mergeCell ref="E254:AJ254"/>
    <mergeCell ref="B239:B242"/>
    <mergeCell ref="E239:AJ239"/>
    <mergeCell ref="E240:AJ240"/>
    <mergeCell ref="E241:AJ241"/>
    <mergeCell ref="E242:AJ242"/>
    <mergeCell ref="B243:B246"/>
    <mergeCell ref="E243:AJ243"/>
    <mergeCell ref="E244:AJ244"/>
    <mergeCell ref="E245:AJ245"/>
    <mergeCell ref="E246:AJ246"/>
    <mergeCell ref="B223:B226"/>
    <mergeCell ref="E223:AJ223"/>
    <mergeCell ref="E224:AJ224"/>
    <mergeCell ref="E225:AJ225"/>
    <mergeCell ref="E226:AJ226"/>
    <mergeCell ref="B227:B230"/>
    <mergeCell ref="D227:D238"/>
    <mergeCell ref="E227:AJ238"/>
    <mergeCell ref="B231:B234"/>
    <mergeCell ref="B235:B238"/>
    <mergeCell ref="B215:B218"/>
    <mergeCell ref="E215:AJ215"/>
    <mergeCell ref="E216:AJ216"/>
    <mergeCell ref="E217:AJ217"/>
    <mergeCell ref="E218:AJ218"/>
    <mergeCell ref="B219:B222"/>
    <mergeCell ref="E219:AJ219"/>
    <mergeCell ref="E220:AJ220"/>
    <mergeCell ref="E221:AJ221"/>
    <mergeCell ref="E222:AJ222"/>
    <mergeCell ref="B207:B210"/>
    <mergeCell ref="E207:AJ207"/>
    <mergeCell ref="E208:AJ208"/>
    <mergeCell ref="E209:AJ209"/>
    <mergeCell ref="E210:AJ210"/>
    <mergeCell ref="B211:B214"/>
    <mergeCell ref="E211:AJ211"/>
    <mergeCell ref="E212:AJ212"/>
    <mergeCell ref="E213:AJ213"/>
    <mergeCell ref="E214:AJ214"/>
    <mergeCell ref="B195:B198"/>
    <mergeCell ref="E195:AB195"/>
    <mergeCell ref="AC195:AH195"/>
    <mergeCell ref="E196:AB196"/>
    <mergeCell ref="AC196:AH196"/>
    <mergeCell ref="AI196:AJ196"/>
    <mergeCell ref="E197:AB197"/>
    <mergeCell ref="E202:AJ202"/>
    <mergeCell ref="B203:B206"/>
    <mergeCell ref="E203:AJ203"/>
    <mergeCell ref="E204:AJ204"/>
    <mergeCell ref="E205:AJ205"/>
    <mergeCell ref="E206:AJ206"/>
    <mergeCell ref="AC197:AH197"/>
    <mergeCell ref="E198:AB198"/>
    <mergeCell ref="AC198:AH198"/>
    <mergeCell ref="AI198:AJ198"/>
    <mergeCell ref="B199:B202"/>
    <mergeCell ref="E199:AB199"/>
    <mergeCell ref="AC199:AJ199"/>
    <mergeCell ref="E200:AB200"/>
    <mergeCell ref="AC200:AJ200"/>
    <mergeCell ref="E201:AJ201"/>
    <mergeCell ref="B191:B194"/>
    <mergeCell ref="E191:AB191"/>
    <mergeCell ref="AC191:AH191"/>
    <mergeCell ref="E192:AB192"/>
    <mergeCell ref="AC192:AH192"/>
    <mergeCell ref="AI192:AJ192"/>
    <mergeCell ref="E193:AB193"/>
    <mergeCell ref="AC193:AH193"/>
    <mergeCell ref="E194:AB194"/>
    <mergeCell ref="AC194:AH194"/>
    <mergeCell ref="AI194:AJ194"/>
    <mergeCell ref="AI186:AJ186"/>
    <mergeCell ref="B187:B190"/>
    <mergeCell ref="E187:AB187"/>
    <mergeCell ref="AC187:AH187"/>
    <mergeCell ref="E188:AB188"/>
    <mergeCell ref="AC188:AH188"/>
    <mergeCell ref="AI188:AJ188"/>
    <mergeCell ref="E189:AB189"/>
    <mergeCell ref="AC189:AH189"/>
    <mergeCell ref="E190:AB190"/>
    <mergeCell ref="B183:B186"/>
    <mergeCell ref="E183:AB183"/>
    <mergeCell ref="AC183:AH183"/>
    <mergeCell ref="E184:AB184"/>
    <mergeCell ref="AC184:AH184"/>
    <mergeCell ref="AI184:AJ184"/>
    <mergeCell ref="E185:AB185"/>
    <mergeCell ref="AC185:AH185"/>
    <mergeCell ref="E186:AB186"/>
    <mergeCell ref="AC186:AH186"/>
    <mergeCell ref="AC190:AH190"/>
    <mergeCell ref="AI190:AJ190"/>
    <mergeCell ref="B175:B178"/>
    <mergeCell ref="E175:AJ175"/>
    <mergeCell ref="E176:AJ176"/>
    <mergeCell ref="E177:AJ177"/>
    <mergeCell ref="E178:AJ178"/>
    <mergeCell ref="B179:B182"/>
    <mergeCell ref="E179:AJ179"/>
    <mergeCell ref="E180:AJ180"/>
    <mergeCell ref="E181:AJ181"/>
    <mergeCell ref="E182:AJ182"/>
    <mergeCell ref="B167:B170"/>
    <mergeCell ref="E167:AJ167"/>
    <mergeCell ref="E168:AJ168"/>
    <mergeCell ref="E169:AJ169"/>
    <mergeCell ref="E170:AJ170"/>
    <mergeCell ref="B171:B174"/>
    <mergeCell ref="E171:AJ171"/>
    <mergeCell ref="E172:AJ172"/>
    <mergeCell ref="E173:AJ173"/>
    <mergeCell ref="E174:AJ174"/>
    <mergeCell ref="AC159:AE159"/>
    <mergeCell ref="AF159:AG159"/>
    <mergeCell ref="AB160:AD160"/>
    <mergeCell ref="AE160:AG160"/>
    <mergeCell ref="AH160:AJ160"/>
    <mergeCell ref="B163:B166"/>
    <mergeCell ref="E163:AJ163"/>
    <mergeCell ref="E164:AJ164"/>
    <mergeCell ref="E165:AJ165"/>
    <mergeCell ref="E166:AJ166"/>
    <mergeCell ref="B159:B162"/>
    <mergeCell ref="E159:F159"/>
    <mergeCell ref="G159:H159"/>
    <mergeCell ref="I159:J159"/>
    <mergeCell ref="K159:L159"/>
    <mergeCell ref="M159:N159"/>
    <mergeCell ref="O159:P159"/>
    <mergeCell ref="Q159:R159"/>
    <mergeCell ref="S159:T159"/>
    <mergeCell ref="E161:AJ161"/>
    <mergeCell ref="E162:AJ162"/>
    <mergeCell ref="AI159:AJ159"/>
    <mergeCell ref="E160:F160"/>
    <mergeCell ref="G160:H160"/>
    <mergeCell ref="I160:J160"/>
    <mergeCell ref="K160:L160"/>
    <mergeCell ref="M160:N160"/>
    <mergeCell ref="O160:P160"/>
    <mergeCell ref="Q160:R160"/>
    <mergeCell ref="S160:T160"/>
    <mergeCell ref="Y160:AA160"/>
    <mergeCell ref="U159:V159"/>
    <mergeCell ref="W159:X159"/>
    <mergeCell ref="Y159:Z159"/>
    <mergeCell ref="AA159:AB159"/>
    <mergeCell ref="M154:N154"/>
    <mergeCell ref="O154:AB154"/>
    <mergeCell ref="AC154:AJ154"/>
    <mergeCell ref="B155:B158"/>
    <mergeCell ref="E155:T155"/>
    <mergeCell ref="V155:Y155"/>
    <mergeCell ref="E156:T156"/>
    <mergeCell ref="U156:Y156"/>
    <mergeCell ref="E157:T157"/>
    <mergeCell ref="U157:AJ157"/>
    <mergeCell ref="B151:B154"/>
    <mergeCell ref="E154:F154"/>
    <mergeCell ref="G154:H154"/>
    <mergeCell ref="I154:J154"/>
    <mergeCell ref="K154:L154"/>
    <mergeCell ref="E158:AJ158"/>
    <mergeCell ref="Y151:AB151"/>
    <mergeCell ref="AC151:AJ151"/>
    <mergeCell ref="E152:T152"/>
    <mergeCell ref="U152:AJ152"/>
    <mergeCell ref="E153:P153"/>
    <mergeCell ref="R153:T153"/>
    <mergeCell ref="U153:X153"/>
    <mergeCell ref="Y153:AB153"/>
    <mergeCell ref="AC153:AJ153"/>
    <mergeCell ref="E151:F151"/>
    <mergeCell ref="G151:H151"/>
    <mergeCell ref="I151:L151"/>
    <mergeCell ref="M151:T151"/>
    <mergeCell ref="U151:X151"/>
    <mergeCell ref="AC150:AJ150"/>
    <mergeCell ref="M148:T148"/>
    <mergeCell ref="U148:X148"/>
    <mergeCell ref="Y148:AB148"/>
    <mergeCell ref="AC148:AJ148"/>
    <mergeCell ref="E149:H149"/>
    <mergeCell ref="I149:L149"/>
    <mergeCell ref="M149:T149"/>
    <mergeCell ref="U149:X149"/>
    <mergeCell ref="Y149:AB149"/>
    <mergeCell ref="AC149:AJ149"/>
    <mergeCell ref="P144:S144"/>
    <mergeCell ref="T144:AC144"/>
    <mergeCell ref="AD144:AJ144"/>
    <mergeCell ref="AC146:AJ146"/>
    <mergeCell ref="B147:B150"/>
    <mergeCell ref="E147:H147"/>
    <mergeCell ref="I147:L147"/>
    <mergeCell ref="M147:T147"/>
    <mergeCell ref="U147:X147"/>
    <mergeCell ref="Y147:AB147"/>
    <mergeCell ref="AC147:AJ147"/>
    <mergeCell ref="E148:H148"/>
    <mergeCell ref="I148:L148"/>
    <mergeCell ref="E146:F146"/>
    <mergeCell ref="G146:H146"/>
    <mergeCell ref="I146:L146"/>
    <mergeCell ref="M146:T146"/>
    <mergeCell ref="U146:X146"/>
    <mergeCell ref="Y146:AB146"/>
    <mergeCell ref="E150:H150"/>
    <mergeCell ref="I150:L150"/>
    <mergeCell ref="M150:T150"/>
    <mergeCell ref="U150:X150"/>
    <mergeCell ref="Y150:AB150"/>
    <mergeCell ref="AC141:AJ141"/>
    <mergeCell ref="E142:T142"/>
    <mergeCell ref="U142:AJ142"/>
    <mergeCell ref="B143:B146"/>
    <mergeCell ref="F143:G143"/>
    <mergeCell ref="H143:K143"/>
    <mergeCell ref="L143:M143"/>
    <mergeCell ref="N143:R143"/>
    <mergeCell ref="S143:U143"/>
    <mergeCell ref="W143:Y143"/>
    <mergeCell ref="B139:B142"/>
    <mergeCell ref="E141:L141"/>
    <mergeCell ref="M141:T141"/>
    <mergeCell ref="U141:AB141"/>
    <mergeCell ref="Z143:AC143"/>
    <mergeCell ref="E145:H145"/>
    <mergeCell ref="I145:L145"/>
    <mergeCell ref="M145:T145"/>
    <mergeCell ref="U145:X145"/>
    <mergeCell ref="Y145:AB145"/>
    <mergeCell ref="AC145:AJ145"/>
    <mergeCell ref="AD143:AF143"/>
    <mergeCell ref="AG143:AI143"/>
    <mergeCell ref="E144:O144"/>
    <mergeCell ref="AA139:AB139"/>
    <mergeCell ref="AD139:AF139"/>
    <mergeCell ref="AI139:AJ139"/>
    <mergeCell ref="E140:T140"/>
    <mergeCell ref="U140:V140"/>
    <mergeCell ref="W140:X140"/>
    <mergeCell ref="Y140:Z140"/>
    <mergeCell ref="AA140:AB140"/>
    <mergeCell ref="AC140:AE140"/>
    <mergeCell ref="AF140:AJ140"/>
    <mergeCell ref="E139:T139"/>
    <mergeCell ref="U139:V139"/>
    <mergeCell ref="W139:X139"/>
    <mergeCell ref="Y139:Z139"/>
    <mergeCell ref="E133:AJ133"/>
    <mergeCell ref="B134:B137"/>
    <mergeCell ref="C134:C137"/>
    <mergeCell ref="D134:D137"/>
    <mergeCell ref="E134:AJ134"/>
    <mergeCell ref="E135:AJ135"/>
    <mergeCell ref="E136:AJ136"/>
    <mergeCell ref="E137:AJ137"/>
    <mergeCell ref="B114:B117"/>
    <mergeCell ref="B118:B121"/>
    <mergeCell ref="B122:B125"/>
    <mergeCell ref="B126:B129"/>
    <mergeCell ref="E129:AJ129"/>
    <mergeCell ref="B130:B133"/>
    <mergeCell ref="D130:D133"/>
    <mergeCell ref="E130:AJ130"/>
    <mergeCell ref="E131:AJ131"/>
    <mergeCell ref="E132:AJ132"/>
    <mergeCell ref="E128:AJ128"/>
    <mergeCell ref="B106:B109"/>
    <mergeCell ref="E106:AJ106"/>
    <mergeCell ref="E107:AJ107"/>
    <mergeCell ref="E108:AJ108"/>
    <mergeCell ref="E109:AJ109"/>
    <mergeCell ref="B110:B113"/>
    <mergeCell ref="E110:AJ110"/>
    <mergeCell ref="E111:AJ111"/>
    <mergeCell ref="E112:AJ112"/>
    <mergeCell ref="E113:AJ113"/>
    <mergeCell ref="E101:L101"/>
    <mergeCell ref="M101:T101"/>
    <mergeCell ref="U101:AB101"/>
    <mergeCell ref="AC101:AJ101"/>
    <mergeCell ref="B102:B105"/>
    <mergeCell ref="B98:B101"/>
    <mergeCell ref="M99:T99"/>
    <mergeCell ref="U99:AB99"/>
    <mergeCell ref="AC99:AJ99"/>
    <mergeCell ref="E100:L100"/>
    <mergeCell ref="M100:T100"/>
    <mergeCell ref="U100:AB100"/>
    <mergeCell ref="AC100:AJ100"/>
    <mergeCell ref="E97:L97"/>
    <mergeCell ref="M97:T97"/>
    <mergeCell ref="U97:AB97"/>
    <mergeCell ref="AC97:AJ97"/>
    <mergeCell ref="E98:L98"/>
    <mergeCell ref="M98:T98"/>
    <mergeCell ref="U98:AB98"/>
    <mergeCell ref="AC98:AJ98"/>
    <mergeCell ref="E99:L99"/>
    <mergeCell ref="B94:B97"/>
    <mergeCell ref="E94:L94"/>
    <mergeCell ref="M94:T94"/>
    <mergeCell ref="U94:AB94"/>
    <mergeCell ref="AC94:AJ94"/>
    <mergeCell ref="E95:L95"/>
    <mergeCell ref="M91:T91"/>
    <mergeCell ref="U91:AB91"/>
    <mergeCell ref="AC91:AJ91"/>
    <mergeCell ref="E92:L92"/>
    <mergeCell ref="M92:T92"/>
    <mergeCell ref="U92:AB92"/>
    <mergeCell ref="AC92:AJ92"/>
    <mergeCell ref="M95:T95"/>
    <mergeCell ref="U95:AB95"/>
    <mergeCell ref="AC95:AJ95"/>
    <mergeCell ref="E96:L96"/>
    <mergeCell ref="M96:T96"/>
    <mergeCell ref="U96:AB96"/>
    <mergeCell ref="AC96:AJ96"/>
    <mergeCell ref="E93:L93"/>
    <mergeCell ref="M93:T93"/>
    <mergeCell ref="U93:AB93"/>
    <mergeCell ref="AC93:AJ93"/>
    <mergeCell ref="E89:L89"/>
    <mergeCell ref="M89:T89"/>
    <mergeCell ref="U89:AB89"/>
    <mergeCell ref="AC89:AJ89"/>
    <mergeCell ref="B90:B93"/>
    <mergeCell ref="E90:L90"/>
    <mergeCell ref="M90:T90"/>
    <mergeCell ref="U90:AB90"/>
    <mergeCell ref="AC90:AJ90"/>
    <mergeCell ref="E91:L91"/>
    <mergeCell ref="B86:B89"/>
    <mergeCell ref="M87:T87"/>
    <mergeCell ref="U87:AB87"/>
    <mergeCell ref="AC87:AJ87"/>
    <mergeCell ref="E88:L88"/>
    <mergeCell ref="M88:T88"/>
    <mergeCell ref="U88:AB88"/>
    <mergeCell ref="AC88:AJ88"/>
    <mergeCell ref="E85:L85"/>
    <mergeCell ref="M85:T85"/>
    <mergeCell ref="U85:AB85"/>
    <mergeCell ref="AC85:AJ85"/>
    <mergeCell ref="E86:L86"/>
    <mergeCell ref="M86:T86"/>
    <mergeCell ref="U86:AB86"/>
    <mergeCell ref="AC86:AJ86"/>
    <mergeCell ref="E87:L87"/>
    <mergeCell ref="B82:B85"/>
    <mergeCell ref="E82:L82"/>
    <mergeCell ref="M82:T82"/>
    <mergeCell ref="U82:AB82"/>
    <mergeCell ref="AC82:AJ82"/>
    <mergeCell ref="E83:L83"/>
    <mergeCell ref="M79:T79"/>
    <mergeCell ref="U79:AB79"/>
    <mergeCell ref="AC79:AJ79"/>
    <mergeCell ref="E80:L80"/>
    <mergeCell ref="M80:T80"/>
    <mergeCell ref="U80:AB80"/>
    <mergeCell ref="AC80:AJ80"/>
    <mergeCell ref="M83:T83"/>
    <mergeCell ref="U83:AB83"/>
    <mergeCell ref="AC83:AJ83"/>
    <mergeCell ref="E84:L84"/>
    <mergeCell ref="M84:T84"/>
    <mergeCell ref="U84:AB84"/>
    <mergeCell ref="AC84:AJ84"/>
    <mergeCell ref="E81:L81"/>
    <mergeCell ref="M81:T81"/>
    <mergeCell ref="U81:AB81"/>
    <mergeCell ref="AC81:AJ81"/>
    <mergeCell ref="B78:B81"/>
    <mergeCell ref="E78:L78"/>
    <mergeCell ref="M78:T78"/>
    <mergeCell ref="U78:AB78"/>
    <mergeCell ref="AC78:AJ78"/>
    <mergeCell ref="E79:L79"/>
    <mergeCell ref="B74:B77"/>
    <mergeCell ref="M75:T75"/>
    <mergeCell ref="U75:AB75"/>
    <mergeCell ref="AC75:AJ75"/>
    <mergeCell ref="E76:L76"/>
    <mergeCell ref="M76:T76"/>
    <mergeCell ref="U76:AB76"/>
    <mergeCell ref="AC76:AJ76"/>
    <mergeCell ref="E74:L74"/>
    <mergeCell ref="M74:T74"/>
    <mergeCell ref="U74:AB74"/>
    <mergeCell ref="AC74:AJ74"/>
    <mergeCell ref="E75:L75"/>
    <mergeCell ref="E77:L77"/>
    <mergeCell ref="M77:T77"/>
    <mergeCell ref="U77:AB77"/>
    <mergeCell ref="AC77:AJ77"/>
    <mergeCell ref="M71:T71"/>
    <mergeCell ref="U71:AB71"/>
    <mergeCell ref="AC71:AJ71"/>
    <mergeCell ref="E72:L72"/>
    <mergeCell ref="M72:T72"/>
    <mergeCell ref="U72:AB72"/>
    <mergeCell ref="AC72:AJ72"/>
    <mergeCell ref="B66:B69"/>
    <mergeCell ref="E66:AJ66"/>
    <mergeCell ref="E67:AJ67"/>
    <mergeCell ref="E68:AJ68"/>
    <mergeCell ref="E69:AJ69"/>
    <mergeCell ref="B70:B73"/>
    <mergeCell ref="E70:L70"/>
    <mergeCell ref="AC70:AJ70"/>
    <mergeCell ref="E71:L71"/>
    <mergeCell ref="E73:L73"/>
    <mergeCell ref="M73:T73"/>
    <mergeCell ref="U73:AB73"/>
    <mergeCell ref="AC73:AJ73"/>
    <mergeCell ref="M70:T70"/>
    <mergeCell ref="U70:AB70"/>
    <mergeCell ref="Z60:AB60"/>
    <mergeCell ref="AD60:AF60"/>
    <mergeCell ref="AH60:AJ60"/>
    <mergeCell ref="AD61:AF61"/>
    <mergeCell ref="AH61:AJ61"/>
    <mergeCell ref="B62:B65"/>
    <mergeCell ref="E62:AJ62"/>
    <mergeCell ref="E63:AJ63"/>
    <mergeCell ref="E64:AJ64"/>
    <mergeCell ref="E65:AJ65"/>
    <mergeCell ref="F61:H61"/>
    <mergeCell ref="J61:L61"/>
    <mergeCell ref="N61:P61"/>
    <mergeCell ref="R61:T61"/>
    <mergeCell ref="V61:X61"/>
    <mergeCell ref="Z61:AB61"/>
    <mergeCell ref="B58:B61"/>
    <mergeCell ref="V60:X60"/>
    <mergeCell ref="Z58:AB58"/>
    <mergeCell ref="AD58:AF58"/>
    <mergeCell ref="AH58:AJ58"/>
    <mergeCell ref="F59:H59"/>
    <mergeCell ref="J59:L59"/>
    <mergeCell ref="N59:P59"/>
    <mergeCell ref="V59:X59"/>
    <mergeCell ref="Z59:AB59"/>
    <mergeCell ref="AD59:AF59"/>
    <mergeCell ref="AH59:AJ59"/>
    <mergeCell ref="F58:H58"/>
    <mergeCell ref="J58:L58"/>
    <mergeCell ref="N58:P58"/>
    <mergeCell ref="R58:T58"/>
    <mergeCell ref="V58:X58"/>
    <mergeCell ref="B54:B57"/>
    <mergeCell ref="F57:H57"/>
    <mergeCell ref="J57:L57"/>
    <mergeCell ref="N57:P57"/>
    <mergeCell ref="R57:T57"/>
    <mergeCell ref="F60:H60"/>
    <mergeCell ref="J60:L60"/>
    <mergeCell ref="N60:P60"/>
    <mergeCell ref="R60:T60"/>
    <mergeCell ref="F56:H56"/>
    <mergeCell ref="J56:L56"/>
    <mergeCell ref="N56:P56"/>
    <mergeCell ref="R56:T56"/>
    <mergeCell ref="F55:H55"/>
    <mergeCell ref="J55:L55"/>
    <mergeCell ref="N55:P55"/>
    <mergeCell ref="R55:T55"/>
    <mergeCell ref="F54:H54"/>
    <mergeCell ref="J54:L54"/>
    <mergeCell ref="N54:P54"/>
    <mergeCell ref="R54:T54"/>
    <mergeCell ref="R59:T59"/>
    <mergeCell ref="V56:X56"/>
    <mergeCell ref="Z56:AB56"/>
    <mergeCell ref="AD56:AF56"/>
    <mergeCell ref="AH56:AJ56"/>
    <mergeCell ref="V57:X57"/>
    <mergeCell ref="Z57:AB57"/>
    <mergeCell ref="AD57:AF57"/>
    <mergeCell ref="AH57:AJ57"/>
    <mergeCell ref="Z54:AB54"/>
    <mergeCell ref="AD54:AF54"/>
    <mergeCell ref="AH54:AJ54"/>
    <mergeCell ref="V55:X55"/>
    <mergeCell ref="Z55:AB55"/>
    <mergeCell ref="AD55:AF55"/>
    <mergeCell ref="V54:X54"/>
    <mergeCell ref="AH55:AJ55"/>
    <mergeCell ref="B46:B49"/>
    <mergeCell ref="E46:AJ46"/>
    <mergeCell ref="E47:AJ47"/>
    <mergeCell ref="E48:AJ48"/>
    <mergeCell ref="E49:AJ49"/>
    <mergeCell ref="B50:B53"/>
    <mergeCell ref="E50:AJ50"/>
    <mergeCell ref="E51:AJ51"/>
    <mergeCell ref="E52:AJ52"/>
    <mergeCell ref="E53:AJ53"/>
    <mergeCell ref="B38:B41"/>
    <mergeCell ref="E38:AJ38"/>
    <mergeCell ref="E39:AJ39"/>
    <mergeCell ref="E40:AJ40"/>
    <mergeCell ref="E41:AJ41"/>
    <mergeCell ref="B42:B45"/>
    <mergeCell ref="E42:AJ42"/>
    <mergeCell ref="E43:AJ43"/>
    <mergeCell ref="E44:AJ44"/>
    <mergeCell ref="E45:AJ45"/>
    <mergeCell ref="B30:B33"/>
    <mergeCell ref="E30:AJ30"/>
    <mergeCell ref="E31:AJ31"/>
    <mergeCell ref="E32:AJ32"/>
    <mergeCell ref="E33:AJ33"/>
    <mergeCell ref="B34:B37"/>
    <mergeCell ref="E34:AJ34"/>
    <mergeCell ref="E35:AJ35"/>
    <mergeCell ref="E36:AJ36"/>
    <mergeCell ref="E37:AJ37"/>
    <mergeCell ref="B22:B25"/>
    <mergeCell ref="E22:AJ22"/>
    <mergeCell ref="E23:AJ23"/>
    <mergeCell ref="E24:AJ24"/>
    <mergeCell ref="E25:AJ25"/>
    <mergeCell ref="B26:B29"/>
    <mergeCell ref="E26:AJ26"/>
    <mergeCell ref="E27:AJ27"/>
    <mergeCell ref="E28:AJ28"/>
    <mergeCell ref="E29:AJ29"/>
    <mergeCell ref="E17:AJ17"/>
    <mergeCell ref="B18:B21"/>
    <mergeCell ref="E18:AJ18"/>
    <mergeCell ref="E19:AJ19"/>
    <mergeCell ref="E20:AJ20"/>
    <mergeCell ref="E21:AJ21"/>
    <mergeCell ref="AG11:AH11"/>
    <mergeCell ref="AI11:AJ11"/>
    <mergeCell ref="E12:L12"/>
    <mergeCell ref="M12:AJ12"/>
    <mergeCell ref="E13:AJ13"/>
    <mergeCell ref="B14:B17"/>
    <mergeCell ref="E14:T14"/>
    <mergeCell ref="U14:AJ14"/>
    <mergeCell ref="E15:T15"/>
    <mergeCell ref="E16:T16"/>
    <mergeCell ref="K7:L7"/>
    <mergeCell ref="M7:AJ7"/>
    <mergeCell ref="E8:AJ8"/>
    <mergeCell ref="E9:AJ9"/>
    <mergeCell ref="B10:B13"/>
    <mergeCell ref="E10:AJ10"/>
    <mergeCell ref="E11:H11"/>
    <mergeCell ref="I11:AB11"/>
    <mergeCell ref="AC11:AD11"/>
    <mergeCell ref="AE11:AF11"/>
    <mergeCell ref="E3:L3"/>
    <mergeCell ref="M3:T3"/>
    <mergeCell ref="U3:AB3"/>
    <mergeCell ref="AC3:AJ3"/>
    <mergeCell ref="A6:A137"/>
    <mergeCell ref="B6:B9"/>
    <mergeCell ref="E6:T6"/>
    <mergeCell ref="U6:AB6"/>
    <mergeCell ref="AC6:AJ6"/>
    <mergeCell ref="G7:I7"/>
    <mergeCell ref="E114:AJ114"/>
    <mergeCell ref="E115:AJ115"/>
    <mergeCell ref="E116:AJ116"/>
    <mergeCell ref="E117:AJ117"/>
    <mergeCell ref="E118:AJ118"/>
    <mergeCell ref="E119:AJ119"/>
    <mergeCell ref="E120:AJ120"/>
    <mergeCell ref="E121:AJ121"/>
    <mergeCell ref="E122:AJ122"/>
    <mergeCell ref="E123:AJ123"/>
    <mergeCell ref="E124:AJ124"/>
    <mergeCell ref="E125:AJ125"/>
    <mergeCell ref="E126:AJ126"/>
    <mergeCell ref="E127:AJ127"/>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98328-BE51-43B4-836F-2B974DB20C64}">
  <dimension ref="B1:D969"/>
  <sheetViews>
    <sheetView zoomScale="110" zoomScaleNormal="80" workbookViewId="0">
      <pane ySplit="1" topLeftCell="A2" activePane="bottomLeft" state="frozen"/>
      <selection pane="bottomLeft" activeCell="A11" sqref="A11"/>
    </sheetView>
  </sheetViews>
  <sheetFormatPr defaultColWidth="11" defaultRowHeight="15.5"/>
  <cols>
    <col min="1" max="1" width="5.08203125" customWidth="1"/>
    <col min="2" max="2" width="27.33203125" style="2" customWidth="1"/>
    <col min="3" max="3" width="23" style="1" customWidth="1"/>
    <col min="4" max="4" width="57.25" style="36" customWidth="1"/>
  </cols>
  <sheetData>
    <row r="1" spans="2:4" ht="27.75" customHeight="1">
      <c r="B1" s="74" t="s">
        <v>601</v>
      </c>
      <c r="C1" s="75" t="s">
        <v>602</v>
      </c>
      <c r="D1" s="75" t="s">
        <v>7</v>
      </c>
    </row>
    <row r="2" spans="2:4">
      <c r="B2" s="71"/>
      <c r="C2" s="69"/>
      <c r="D2" s="70"/>
    </row>
    <row r="3" spans="2:4" ht="26">
      <c r="B3" s="71" t="s">
        <v>603</v>
      </c>
      <c r="C3" s="72" t="s">
        <v>604</v>
      </c>
      <c r="D3" s="70" t="s">
        <v>605</v>
      </c>
    </row>
    <row r="4" spans="2:4" ht="29.25" customHeight="1">
      <c r="B4" s="71" t="s">
        <v>606</v>
      </c>
      <c r="C4" s="69" t="s">
        <v>607</v>
      </c>
      <c r="D4" s="70" t="s">
        <v>608</v>
      </c>
    </row>
    <row r="5" spans="2:4" ht="55.5" customHeight="1">
      <c r="B5" s="71" t="s">
        <v>609</v>
      </c>
      <c r="C5" s="69" t="s">
        <v>610</v>
      </c>
      <c r="D5" s="70" t="s">
        <v>611</v>
      </c>
    </row>
    <row r="6" spans="2:4">
      <c r="B6" s="71" t="s">
        <v>612</v>
      </c>
      <c r="C6" s="69" t="s">
        <v>15</v>
      </c>
      <c r="D6" s="70"/>
    </row>
    <row r="7" spans="2:4">
      <c r="B7" s="71" t="s">
        <v>613</v>
      </c>
      <c r="C7" s="69" t="s">
        <v>614</v>
      </c>
      <c r="D7" s="70" t="s">
        <v>615</v>
      </c>
    </row>
    <row r="8" spans="2:4">
      <c r="B8" s="71" t="s">
        <v>616</v>
      </c>
      <c r="C8" s="69" t="s">
        <v>617</v>
      </c>
      <c r="D8" s="70" t="s">
        <v>618</v>
      </c>
    </row>
    <row r="9" spans="2:4">
      <c r="B9" s="71" t="s">
        <v>619</v>
      </c>
      <c r="C9" s="69" t="s">
        <v>15</v>
      </c>
      <c r="D9" s="70"/>
    </row>
    <row r="10" spans="2:4" ht="26">
      <c r="B10" s="71" t="s">
        <v>620</v>
      </c>
      <c r="C10" s="69" t="s">
        <v>621</v>
      </c>
      <c r="D10" s="70" t="s">
        <v>622</v>
      </c>
    </row>
    <row r="11" spans="2:4">
      <c r="B11" s="71" t="s">
        <v>623</v>
      </c>
      <c r="C11" s="73" t="s">
        <v>624</v>
      </c>
      <c r="D11" s="73" t="s">
        <v>625</v>
      </c>
    </row>
    <row r="12" spans="2:4">
      <c r="B12" s="71" t="s">
        <v>626</v>
      </c>
      <c r="C12" s="69" t="s">
        <v>15</v>
      </c>
      <c r="D12" s="73"/>
    </row>
    <row r="13" spans="2:4">
      <c r="B13"/>
      <c r="C13"/>
      <c r="D13"/>
    </row>
    <row r="14" spans="2:4">
      <c r="B14"/>
      <c r="C14"/>
      <c r="D14"/>
    </row>
    <row r="15" spans="2:4">
      <c r="B15"/>
      <c r="C15"/>
      <c r="D15"/>
    </row>
    <row r="16" spans="2:4">
      <c r="B16"/>
      <c r="C16"/>
      <c r="D16"/>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row r="969" customFormat="1"/>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B8F69B4A5CF1049A4040302F52E379E" ma:contentTypeVersion="45" ma:contentTypeDescription="Create a new document." ma:contentTypeScope="" ma:versionID="130d26f1c6573035e1118d575b1b5134">
  <xsd:schema xmlns:xsd="http://www.w3.org/2001/XMLSchema" xmlns:xs="http://www.w3.org/2001/XMLSchema" xmlns:p="http://schemas.microsoft.com/office/2006/metadata/properties" xmlns:ns2="ef83543a-63d2-408a-9f10-f2275945a2ff" xmlns:ns3="c4672b8b-43e2-4139-8cd1-27ad03f081e7" xmlns:ns4="d79c7bf1-1763-4f32-926f-7892bffab64d" xmlns:ns5="657de866-0e94-47fe-8dcc-5b49761d38a1" targetNamespace="http://schemas.microsoft.com/office/2006/metadata/properties" ma:root="true" ma:fieldsID="85a2eb689925917a2e47ecf660bc7250" ns2:_="" ns3:_="" ns4:_="" ns5:_="">
    <xsd:import namespace="ef83543a-63d2-408a-9f10-f2275945a2ff"/>
    <xsd:import namespace="c4672b8b-43e2-4139-8cd1-27ad03f081e7"/>
    <xsd:import namespace="d79c7bf1-1763-4f32-926f-7892bffab64d"/>
    <xsd:import namespace="657de866-0e94-47fe-8dcc-5b49761d38a1"/>
    <xsd:element name="properties">
      <xsd:complexType>
        <xsd:sequence>
          <xsd:element name="documentManagement">
            <xsd:complexType>
              <xsd:all>
                <xsd:element ref="ns2:nxp_description" minOccurs="0"/>
                <xsd:element ref="ns2:NPI_x0020_Record" minOccurs="0"/>
                <xsd:element ref="ns2:Delete_x0020_Date" minOccurs="0"/>
                <xsd:element ref="ns2:e3175812bfbd472883b52b9233b4580b" minOccurs="0"/>
                <xsd:element ref="ns3:TaxCatchAll" minOccurs="0"/>
                <xsd:element ref="ns2:h3b4ebf34afd43c09cb17427cbdddf25" minOccurs="0"/>
                <xsd:element ref="ns4:SharedWithUsers" minOccurs="0"/>
                <xsd:element ref="ns4:SharedWithDetails" minOccurs="0"/>
                <xsd:element ref="ns2:nb207f868db644ff82e8ae5f0d09ba79" minOccurs="0"/>
                <xsd:element ref="ns2:iced8cea4e784e5b8a13f88886074984" minOccurs="0"/>
                <xsd:element ref="ns2:a3c9644943934c60b9084e198c1b9c13" minOccurs="0"/>
                <xsd:element ref="ns4:TaxKeywordTaxHTField" minOccurs="0"/>
                <xsd:element ref="ns2:Content_x0020_Date" minOccurs="0"/>
                <xsd:element ref="ns2:Product" minOccurs="0"/>
                <xsd:element ref="ns5:MediaServiceMetadata" minOccurs="0"/>
                <xsd:element ref="ns5:MediaServiceFastMetadata" minOccurs="0"/>
                <xsd:element ref="ns5:MediaServiceAutoKeyPoints" minOccurs="0"/>
                <xsd:element ref="ns5:MediaServiceKeyPoints" minOccurs="0"/>
                <xsd:element ref="ns5:MediaServiceOCR" minOccurs="0"/>
                <xsd:element ref="ns5:MediaServiceGenerationTime" minOccurs="0"/>
                <xsd:element ref="ns5:MediaServiceEventHashCode" minOccurs="0"/>
                <xsd:element ref="ns5:MediaServiceDateTaken" minOccurs="0"/>
                <xsd:element ref="ns5:MediaLengthInSeconds"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83543a-63d2-408a-9f10-f2275945a2ff" elementFormDefault="qualified">
    <xsd:import namespace="http://schemas.microsoft.com/office/2006/documentManagement/types"/>
    <xsd:import namespace="http://schemas.microsoft.com/office/infopath/2007/PartnerControls"/>
    <xsd:element name="nxp_description" ma:index="9" nillable="true" ma:displayName="NXP Description" ma:description="free text field describing the doc." ma:internalName="nxp_description">
      <xsd:simpleType>
        <xsd:restriction base="dms:Text">
          <xsd:maxLength value="255"/>
        </xsd:restriction>
      </xsd:simpleType>
    </xsd:element>
    <xsd:element name="NPI_x0020_Record" ma:index="12" nillable="true" ma:displayName="NPI Record" ma:default="0" ma:description="Set true for anything required by our internal processes.  &quot;Audit&quot; views will filter on &quot;yes&quot;" ma:internalName="NPI_x0020_Record">
      <xsd:simpleType>
        <xsd:restriction base="dms:Boolean"/>
      </xsd:simpleType>
    </xsd:element>
    <xsd:element name="Delete_x0020_Date" ma:index="15" nillable="true" ma:displayName="Delete Date" ma:default="2099-01-01T00:00:00Z" ma:description="( FSL SOP4-15) says that we hold docs for a period of time then delete them, to prevent endless liability for customer support for long EOL parts.  As a general rule, Engineering documents should be held for EOL+7 years.  The actual meaning here is that a tool can and will delete any file with an expired date (any date in the past).  So when a product is officially EOL add 7 years to that date for those files for the specific purpose of deleting them." ma:format="DateOnly" ma:internalName="Delete_x0020_Date">
      <xsd:simpleType>
        <xsd:restriction base="dms:DateTime"/>
      </xsd:simpleType>
    </xsd:element>
    <xsd:element name="e3175812bfbd472883b52b9233b4580b" ma:index="16" nillable="true" ma:taxonomy="true" ma:internalName="e3175812bfbd472883b52b9233b4580b" ma:taxonomyFieldName="iCAP" ma:displayName="iCAP" ma:default="1;#COMPANY INTERNAL|fba6ddd2-c0d6-406a-843f-19fb8f95d116" ma:fieldId="{e3175812-bfbd-4728-83b5-2b9233b4580b}" ma:sspId="7ae9cabe-f4d8-44ae-a6f0-8d11cb15c1ae" ma:termSetId="970493f6-76f1-4e13-a881-a1ba5fc91cd9" ma:anchorId="02e21758-4547-4981-bd78-06720c9cfdb9" ma:open="false" ma:isKeyword="false">
      <xsd:complexType>
        <xsd:sequence>
          <xsd:element ref="pc:Terms" minOccurs="0" maxOccurs="1"/>
        </xsd:sequence>
      </xsd:complexType>
    </xsd:element>
    <xsd:element name="h3b4ebf34afd43c09cb17427cbdddf25" ma:index="18" nillable="true" ma:taxonomy="true" ma:internalName="h3b4ebf34afd43c09cb17427cbdddf25" ma:taxonomyFieldName="Phase_x0020_Gate" ma:displayName="Phase Gate" ma:default="" ma:fieldId="{13b4ebf3-4afd-43c0-9cb1-7427cbdddf25}" ma:sspId="7ae9cabe-f4d8-44ae-a6f0-8d11cb15c1ae" ma:termSetId="d2ccdbce-830d-4eac-9d33-71add9b1cc0d" ma:anchorId="00000000-0000-0000-0000-000000000000" ma:open="true" ma:isKeyword="false">
      <xsd:complexType>
        <xsd:sequence>
          <xsd:element ref="pc:Terms" minOccurs="0" maxOccurs="1"/>
        </xsd:sequence>
      </xsd:complexType>
    </xsd:element>
    <xsd:element name="nb207f868db644ff82e8ae5f0d09ba79" ma:index="21" nillable="true" ma:taxonomy="true" ma:internalName="nb207f868db644ff82e8ae5f0d09ba79" ma:taxonomyFieldName="Team_x0020_Role" ma:displayName="Team Role" ma:default="" ma:fieldId="{7b207f86-8db6-44ff-82e8-ae5f0d09ba79}" ma:sspId="7ae9cabe-f4d8-44ae-a6f0-8d11cb15c1ae" ma:termSetId="34cee638-dded-44d4-94a5-21bf4912d8b8" ma:anchorId="00000000-0000-0000-0000-000000000000" ma:open="false" ma:isKeyword="false">
      <xsd:complexType>
        <xsd:sequence>
          <xsd:element ref="pc:Terms" minOccurs="0" maxOccurs="1"/>
        </xsd:sequence>
      </xsd:complexType>
    </xsd:element>
    <xsd:element name="iced8cea4e784e5b8a13f88886074984" ma:index="22" nillable="true" ma:taxonomy="true" ma:internalName="iced8cea4e784e5b8a13f88886074984" ma:taxonomyFieldName="Category" ma:displayName="Category" ma:default="" ma:fieldId="{2ced8cea-4e78-4e5b-8a13-f88886074984}" ma:sspId="7ae9cabe-f4d8-44ae-a6f0-8d11cb15c1ae" ma:termSetId="cc8520be-380f-467c-b1c3-837e0ecb608e" ma:anchorId="00000000-0000-0000-0000-000000000000" ma:open="false" ma:isKeyword="false">
      <xsd:complexType>
        <xsd:sequence>
          <xsd:element ref="pc:Terms" minOccurs="0" maxOccurs="1"/>
        </xsd:sequence>
      </xsd:complexType>
    </xsd:element>
    <xsd:element name="a3c9644943934c60b9084e198c1b9c13" ma:index="23" nillable="true" ma:taxonomy="true" ma:internalName="a3c9644943934c60b9084e198c1b9c13" ma:taxonomyFieldName="Doc_x0020_Type" ma:displayName="Doc Type" ma:default="" ma:fieldId="{a3c96449-4393-4c60-b908-4e198c1b9c13}" ma:sspId="7ae9cabe-f4d8-44ae-a6f0-8d11cb15c1ae" ma:termSetId="3a8f40e7-07a0-45d3-b0eb-34d39b76fe28" ma:anchorId="00000000-0000-0000-0000-000000000000" ma:open="false" ma:isKeyword="false">
      <xsd:complexType>
        <xsd:sequence>
          <xsd:element ref="pc:Terms" minOccurs="0" maxOccurs="1"/>
        </xsd:sequence>
      </xsd:complexType>
    </xsd:element>
    <xsd:element name="Content_x0020_Date" ma:index="26" nillable="true" ma:displayName="Content Date" ma:description="Date associated with the content.  Typically publish or presentation dates" ma:format="DateOnly" ma:internalName="Content_x0020_Date">
      <xsd:simpleType>
        <xsd:restriction base="dms:DateTime"/>
      </xsd:simpleType>
    </xsd:element>
    <xsd:element name="Product" ma:index="27" nillable="true" ma:displayName="Product" ma:default="MCX N10" ma:description="Leave default, set to project name for this library" ma:internalName="Produ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672b8b-43e2-4139-8cd1-27ad03f081e7" elementFormDefault="qualified">
    <xsd:import namespace="http://schemas.microsoft.com/office/2006/documentManagement/types"/>
    <xsd:import namespace="http://schemas.microsoft.com/office/infopath/2007/PartnerControls"/>
    <xsd:element name="TaxCatchAll" ma:index="17" nillable="true" ma:displayName="Taxonomy Catch All Column" ma:description="" ma:hidden="true" ma:list="{97c0a75c-1299-46ef-ab35-07d498ace433}" ma:internalName="TaxCatchAll" ma:showField="CatchAllData" ma:web="d79c7bf1-1763-4f32-926f-7892bffab6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9c7bf1-1763-4f32-926f-7892bffab64d" elementFormDefault="qualified">
    <xsd:import namespace="http://schemas.microsoft.com/office/2006/documentManagement/types"/>
    <xsd:import namespace="http://schemas.microsoft.com/office/infopath/2007/PartnerControls"/>
    <xsd:element name="SharedWithUsers" ma:index="19" nillable="true" ma:displayName="Shared With" ma:description=""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description="" ma:internalName="SharedWithDetails" ma:readOnly="true">
      <xsd:simpleType>
        <xsd:restriction base="dms:Note">
          <xsd:maxLength value="255"/>
        </xsd:restriction>
      </xsd:simpleType>
    </xsd:element>
    <xsd:element name="TaxKeywordTaxHTField" ma:index="25" nillable="true" ma:taxonomy="true" ma:internalName="TaxKeywordTaxHTField" ma:taxonomyFieldName="TaxKeyword" ma:displayName="Keywords" ma:readOnly="false" ma:fieldId="{23f27201-bee3-471e-b2e7-b64fd8b7ca38}" ma:taxonomyMulti="true" ma:sspId="7ae9cabe-f4d8-44ae-a6f0-8d11cb15c1ae"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7de866-0e94-47fe-8dcc-5b49761d38a1"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KeyPoints" ma:index="30" nillable="true" ma:displayName="MediaServiceAutoKeyPoints" ma:hidden="true" ma:internalName="MediaServiceAutoKeyPoints" ma:readOnly="true">
      <xsd:simpleType>
        <xsd:restriction base="dms:Note"/>
      </xsd:simpleType>
    </xsd:element>
    <xsd:element name="MediaServiceKeyPoints" ma:index="31" nillable="true" ma:displayName="KeyPoints" ma:internalName="MediaServiceKeyPoints" ma:readOnly="true">
      <xsd:simpleType>
        <xsd:restriction base="dms:Note">
          <xsd:maxLength value="255"/>
        </xsd:restriction>
      </xsd:simpleType>
    </xsd:element>
    <xsd:element name="MediaServiceOCR" ma:index="32" nillable="true" ma:displayName="Extracted Text" ma:internalName="MediaServiceOCR" ma:readOnly="true">
      <xsd:simpleType>
        <xsd:restriction base="dms:Note">
          <xsd:maxLength value="255"/>
        </xsd:restriction>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ServiceDateTaken" ma:index="35" nillable="true" ma:displayName="MediaServiceDateTaken" ma:hidden="true" ma:internalName="MediaServiceDateTaken" ma:readOnly="true">
      <xsd:simpleType>
        <xsd:restriction base="dms:Text"/>
      </xsd:simpleType>
    </xsd:element>
    <xsd:element name="MediaLengthInSeconds" ma:index="36" nillable="true" ma:displayName="MediaLengthInSeconds" ma:hidden="true" ma:internalName="MediaLengthInSeconds" ma:readOnly="true">
      <xsd:simpleType>
        <xsd:restriction base="dms:Unknown"/>
      </xsd:simpleType>
    </xsd:element>
    <xsd:element name="lcf76f155ced4ddcb4097134ff3c332f" ma:index="38" nillable="true" ma:taxonomy="true" ma:internalName="lcf76f155ced4ddcb4097134ff3c332f" ma:taxonomyFieldName="MediaServiceImageTags" ma:displayName="Image Tags" ma:readOnly="false" ma:fieldId="{5cf76f15-5ced-4ddc-b409-7134ff3c332f}" ma:taxonomyMulti="true" ma:sspId="7ae9cabe-f4d8-44ae-a6f0-8d11cb15c1a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9" nillable="true" ma:displayName="MediaServiceObjectDetectorVersions"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3175812bfbd472883b52b9233b4580b xmlns="ef83543a-63d2-408a-9f10-f2275945a2ff">
      <Terms xmlns="http://schemas.microsoft.com/office/infopath/2007/PartnerControls">
        <TermInfo xmlns="http://schemas.microsoft.com/office/infopath/2007/PartnerControls">
          <TermName xmlns="http://schemas.microsoft.com/office/infopath/2007/PartnerControls">COMPANY INTERNAL</TermName>
          <TermId xmlns="http://schemas.microsoft.com/office/infopath/2007/PartnerControls">fba6ddd2-c0d6-406a-843f-19fb8f95d116</TermId>
        </TermInfo>
      </Terms>
    </e3175812bfbd472883b52b9233b4580b>
    <a3c9644943934c60b9084e198c1b9c13 xmlns="ef83543a-63d2-408a-9f10-f2275945a2ff">
      <Terms xmlns="http://schemas.microsoft.com/office/infopath/2007/PartnerControls">
        <TermInfo xmlns="http://schemas.microsoft.com/office/infopath/2007/PartnerControls">
          <TermName xmlns="http://schemas.microsoft.com/office/infopath/2007/PartnerControls">Fuse Doc</TermName>
          <TermId xmlns="http://schemas.microsoft.com/office/infopath/2007/PartnerControls">99c6e476-fa5f-4ca9-88c3-1a0683e5e692</TermId>
        </TermInfo>
      </Terms>
    </a3c9644943934c60b9084e198c1b9c13>
    <h3b4ebf34afd43c09cb17427cbdddf25 xmlns="ef83543a-63d2-408a-9f10-f2275945a2ff">
      <Terms xmlns="http://schemas.microsoft.com/office/infopath/2007/PartnerControls">
        <TermInfo xmlns="http://schemas.microsoft.com/office/infopath/2007/PartnerControls">
          <TermName xmlns="http://schemas.microsoft.com/office/infopath/2007/PartnerControls">PCG3-Execution</TermName>
          <TermId xmlns="http://schemas.microsoft.com/office/infopath/2007/PartnerControls">174b9138-fcc4-4127-9fc4-59cc07fa2429</TermId>
        </TermInfo>
      </Terms>
    </h3b4ebf34afd43c09cb17427cbdddf25>
    <iced8cea4e784e5b8a13f88886074984 xmlns="ef83543a-63d2-408a-9f10-f2275945a2ff">
      <Terms xmlns="http://schemas.microsoft.com/office/infopath/2007/PartnerControls">
        <TermInfo xmlns="http://schemas.microsoft.com/office/infopath/2007/PartnerControls">
          <TermName xmlns="http://schemas.microsoft.com/office/infopath/2007/PartnerControls">Documentation</TermName>
          <TermId xmlns="http://schemas.microsoft.com/office/infopath/2007/PartnerControls">1d6e286b-3104-4ada-894e-6beae48e4536</TermId>
        </TermInfo>
      </Terms>
    </iced8cea4e784e5b8a13f88886074984>
    <Content_x0020_Date xmlns="ef83543a-63d2-408a-9f10-f2275945a2ff" xsi:nil="true"/>
    <TaxCatchAll xmlns="c4672b8b-43e2-4139-8cd1-27ad03f081e7">
      <Value>5</Value>
      <Value>11</Value>
      <Value>38</Value>
      <Value>25</Value>
      <Value>1</Value>
    </TaxCatchAll>
    <Product xmlns="ef83543a-63d2-408a-9f10-f2275945a2ff">NirvanaN1.0</Product>
    <TaxKeywordTaxHTField xmlns="d79c7bf1-1763-4f32-926f-7892bffab64d">
      <Terms xmlns="http://schemas.microsoft.com/office/infopath/2007/PartnerControls"/>
    </TaxKeywordTaxHTField>
    <NPI_x0020_Record xmlns="ef83543a-63d2-408a-9f10-f2275945a2ff">false</NPI_x0020_Record>
    <nb207f868db644ff82e8ae5f0d09ba79 xmlns="ef83543a-63d2-408a-9f10-f2275945a2ff">
      <Terms xmlns="http://schemas.microsoft.com/office/infopath/2007/PartnerControls">
        <TermInfo xmlns="http://schemas.microsoft.com/office/infopath/2007/PartnerControls">
          <TermName xmlns="http://schemas.microsoft.com/office/infopath/2007/PartnerControls">Systems</TermName>
          <TermId xmlns="http://schemas.microsoft.com/office/infopath/2007/PartnerControls">4582c4fc-1ebc-4b3c-836f-f9ed615808d9</TermId>
        </TermInfo>
      </Terms>
    </nb207f868db644ff82e8ae5f0d09ba79>
    <nxp_description xmlns="ef83543a-63d2-408a-9f10-f2275945a2ff" xsi:nil="true"/>
    <Delete_x0020_Date xmlns="ef83543a-63d2-408a-9f10-f2275945a2ff">2099-01-01T00:00:00+00:00</Delete_x0020_Date>
    <lcf76f155ced4ddcb4097134ff3c332f xmlns="657de866-0e94-47fe-8dcc-5b49761d38a1">
      <Terms xmlns="http://schemas.microsoft.com/office/infopath/2007/PartnerControls"/>
    </lcf76f155ced4ddcb4097134ff3c332f>
    <SharedWithUsers xmlns="d79c7bf1-1763-4f32-926f-7892bffab64d">
      <UserInfo>
        <DisplayName>Arthur Beckers</DisplayName>
        <AccountId>12731</AccountId>
        <AccountType/>
      </UserInfo>
    </SharedWithUsers>
  </documentManagement>
</p:properties>
</file>

<file path=customXml/itemProps1.xml><?xml version="1.0" encoding="utf-8"?>
<ds:datastoreItem xmlns:ds="http://schemas.openxmlformats.org/officeDocument/2006/customXml" ds:itemID="{11D9EC6B-745E-4939-8367-B12EA6E5FC7D}">
  <ds:schemaRefs>
    <ds:schemaRef ds:uri="http://schemas.microsoft.com/sharepoint/v3/contenttype/forms"/>
  </ds:schemaRefs>
</ds:datastoreItem>
</file>

<file path=customXml/itemProps2.xml><?xml version="1.0" encoding="utf-8"?>
<ds:datastoreItem xmlns:ds="http://schemas.openxmlformats.org/officeDocument/2006/customXml" ds:itemID="{6BAA71AB-20DC-4376-853B-57D35CB459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83543a-63d2-408a-9f10-f2275945a2ff"/>
    <ds:schemaRef ds:uri="c4672b8b-43e2-4139-8cd1-27ad03f081e7"/>
    <ds:schemaRef ds:uri="d79c7bf1-1763-4f32-926f-7892bffab64d"/>
    <ds:schemaRef ds:uri="657de866-0e94-47fe-8dcc-5b49761d38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1BA7708-9248-475D-8A8E-698E56896F83}">
  <ds:schemaRefs>
    <ds:schemaRef ds:uri="http://schemas.microsoft.com/office/2006/metadata/properties"/>
    <ds:schemaRef ds:uri="http://schemas.microsoft.com/office/infopath/2007/PartnerControls"/>
    <ds:schemaRef ds:uri="ef83543a-63d2-408a-9f10-f2275945a2ff"/>
    <ds:schemaRef ds:uri="c4672b8b-43e2-4139-8cd1-27ad03f081e7"/>
    <ds:schemaRef ds:uri="d79c7bf1-1763-4f32-926f-7892bffab64d"/>
    <ds:schemaRef ds:uri="657de866-0e94-47fe-8dcc-5b49761d38a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2</vt:i4>
      </vt:variant>
    </vt:vector>
  </HeadingPairs>
  <TitlesOfParts>
    <vt:vector size="2" baseType="lpstr">
      <vt:lpstr>IFR0</vt:lpstr>
      <vt:lpstr>IFR1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MCX IFR</dc:title>
  <dc:subject/>
  <dc:creator>Microsoft Office User</dc:creator>
  <cp:keywords/>
  <dc:description/>
  <cp:lastModifiedBy>Saurabh Bhamra</cp:lastModifiedBy>
  <cp:revision/>
  <dcterms:created xsi:type="dcterms:W3CDTF">2017-10-20T21:55:50Z</dcterms:created>
  <dcterms:modified xsi:type="dcterms:W3CDTF">2025-02-07T05:31:38Z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0x0101002B8F69B4A5CF1049A4040302F52E379E</vt:lpwstr>
  </property>
  <property fmtid="{D5CDD505-2E9C-101B-9397-08002B2CF9AE}" pid="3" name="TaxKeyword">
    <vt:lpwstr/>
  </property>
  <property fmtid="{D5CDD505-2E9C-101B-9397-08002B2CF9AE}" pid="4" name="Category">
    <vt:lpwstr>25;#Documentation|1d6e286b-3104-4ada-894e-6beae48e4536</vt:lpwstr>
  </property>
  <property fmtid="{D5CDD505-2E9C-101B-9397-08002B2CF9AE}" pid="5" name="Phase Gate">
    <vt:lpwstr>5;#PCG3-Execution|174b9138-fcc4-4127-9fc4-59cc07fa2429</vt:lpwstr>
  </property>
  <property fmtid="{D5CDD505-2E9C-101B-9397-08002B2CF9AE}" pid="6" name="iCAP">
    <vt:lpwstr>1;#COMPANY INTERNAL|fba6ddd2-c0d6-406a-843f-19fb8f95d116</vt:lpwstr>
  </property>
  <property fmtid="{D5CDD505-2E9C-101B-9397-08002B2CF9AE}" pid="7" name="Team Role">
    <vt:lpwstr>11;#Systems|4582c4fc-1ebc-4b3c-836f-f9ed615808d9</vt:lpwstr>
  </property>
  <property fmtid="{D5CDD505-2E9C-101B-9397-08002B2CF9AE}" pid="8" name="Doc Type">
    <vt:lpwstr>38;#Fuse Doc|99c6e476-fa5f-4ca9-88c3-1a0683e5e692</vt:lpwstr>
  </property>
  <property fmtid="{D5CDD505-2E9C-101B-9397-08002B2CF9AE}" pid="9" name="MediaServiceImageTags">
    <vt:lpwstr/>
  </property>
  <property fmtid="{D5CDD505-2E9C-101B-9397-08002B2CF9AE}" pid="10" name="Phase_x0020_Gate">
    <vt:lpwstr>5;#PCG3-Execution|174b9138-fcc4-4127-9fc4-59cc07fa2429</vt:lpwstr>
  </property>
  <property fmtid="{D5CDD505-2E9C-101B-9397-08002B2CF9AE}" pid="11" name="Doc_x0020_Type">
    <vt:lpwstr>38;#Fuse Doc|99c6e476-fa5f-4ca9-88c3-1a0683e5e692</vt:lpwstr>
  </property>
  <property fmtid="{D5CDD505-2E9C-101B-9397-08002B2CF9AE}" pid="12" name="Team_x0020_Role">
    <vt:lpwstr>11;#Systems|4582c4fc-1ebc-4b3c-836f-f9ed615808d9</vt:lpwstr>
  </property>
</Properties>
</file>